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数据表目录" sheetId="1" r:id="rId1"/>
    <sheet name="国金" sheetId="2" r:id="rId2"/>
    <sheet name="模块信息" sheetId="3" r:id="rId3"/>
    <sheet name="标准数据类型" sheetId="4" r:id="rId4"/>
    <sheet name="业务数据类型" sheetId="5" r:id="rId5"/>
  </sheets>
  <calcPr calcId="144525"/>
</workbook>
</file>

<file path=xl/sharedStrings.xml><?xml version="1.0" encoding="utf-8"?>
<sst xmlns="http://schemas.openxmlformats.org/spreadsheetml/2006/main" count="5338" uniqueCount="866">
  <si>
    <t>模块英文名</t>
  </si>
  <si>
    <t>模块中文名</t>
  </si>
  <si>
    <t>对象号</t>
  </si>
  <si>
    <t>数据表名</t>
  </si>
  <si>
    <t>表中文名</t>
  </si>
  <si>
    <t>类型</t>
  </si>
  <si>
    <t>说明</t>
  </si>
  <si>
    <t>gjs</t>
  </si>
  <si>
    <t>国金</t>
  </si>
  <si>
    <t/>
  </si>
  <si>
    <t>分支行表</t>
  </si>
  <si>
    <t>table</t>
  </si>
  <si>
    <t>利息核算表</t>
  </si>
  <si>
    <t>空</t>
  </si>
  <si>
    <t>区表</t>
  </si>
  <si>
    <t>表不存在</t>
  </si>
  <si>
    <t>孳息核算表</t>
  </si>
  <si>
    <t>对账单表</t>
  </si>
  <si>
    <t>市-银行关系表</t>
  </si>
  <si>
    <t>市表</t>
  </si>
  <si>
    <t>开户申请表</t>
  </si>
  <si>
    <t>汇入汇出关联表</t>
  </si>
  <si>
    <t>用户权限关系表</t>
  </si>
  <si>
    <t>登录用户表</t>
  </si>
  <si>
    <t>省表</t>
  </si>
  <si>
    <t>系统权限表</t>
  </si>
  <si>
    <t>菜单权限表</t>
  </si>
  <si>
    <t>账务核对表</t>
  </si>
  <si>
    <t>账户信息表</t>
  </si>
  <si>
    <t>资金汇入流水表</t>
  </si>
  <si>
    <t>资金汇入计划表</t>
  </si>
  <si>
    <t>资金汇出表</t>
  </si>
  <si>
    <t>资金流水明细表</t>
  </si>
  <si>
    <t>资金流水计划关联表</t>
  </si>
  <si>
    <t>银行表</t>
  </si>
  <si>
    <t>销户申请表</t>
  </si>
  <si>
    <t>项目信息表</t>
  </si>
  <si>
    <t>版本号</t>
  </si>
  <si>
    <t>表名</t>
  </si>
  <si>
    <t>gjs_branch</t>
  </si>
  <si>
    <t>表类型</t>
  </si>
  <si>
    <t>U</t>
  </si>
  <si>
    <t>所在数据库</t>
  </si>
  <si>
    <t>中文名</t>
  </si>
  <si>
    <t>是否自定义表分区</t>
  </si>
  <si>
    <t>N</t>
  </si>
  <si>
    <t>表分区字段</t>
  </si>
  <si>
    <t>分区个数</t>
  </si>
  <si>
    <t>分区开始日期</t>
  </si>
  <si>
    <t>存在历史表</t>
  </si>
  <si>
    <t>存在冗余表</t>
  </si>
  <si>
    <t>存在清算表</t>
  </si>
  <si>
    <t>历史索引表空间</t>
  </si>
  <si>
    <t>清算索引表空间</t>
  </si>
  <si>
    <t>归档表空间</t>
  </si>
  <si>
    <t>历史表空间</t>
  </si>
  <si>
    <t>索引表空间</t>
  </si>
  <si>
    <t>归档索引表空间</t>
  </si>
  <si>
    <t>冗余表空间</t>
  </si>
  <si>
    <t>清算表空间</t>
  </si>
  <si>
    <t>字段</t>
  </si>
  <si>
    <t>字段名</t>
  </si>
  <si>
    <t>字段类型</t>
  </si>
  <si>
    <t>空值</t>
  </si>
  <si>
    <t>备注</t>
  </si>
  <si>
    <t>默认值</t>
  </si>
  <si>
    <t>branch_id</t>
  </si>
  <si>
    <t>分支行id</t>
  </si>
  <si>
    <t>branch_no</t>
  </si>
  <si>
    <t>分支机构序号</t>
  </si>
  <si>
    <t>Y</t>
  </si>
  <si>
    <t>branch_name</t>
  </si>
  <si>
    <t>分支行名称</t>
  </si>
  <si>
    <t>bank_code</t>
  </si>
  <si>
    <t>银行编号</t>
  </si>
  <si>
    <t>field1</t>
  </si>
  <si>
    <t>备用字段1</t>
  </si>
  <si>
    <t>field2</t>
  </si>
  <si>
    <t>备用字段2</t>
  </si>
  <si>
    <t>field3</t>
  </si>
  <si>
    <t>备用字段3</t>
  </si>
  <si>
    <t>索引</t>
  </si>
  <si>
    <t>索引名称</t>
  </si>
  <si>
    <t>唯一</t>
  </si>
  <si>
    <t>聚簇</t>
  </si>
  <si>
    <t>索引字段</t>
  </si>
  <si>
    <t>反转</t>
  </si>
  <si>
    <t>键约束</t>
  </si>
  <si>
    <t>名称</t>
  </si>
  <si>
    <t>字段列表</t>
  </si>
  <si>
    <t>外键参照表</t>
  </si>
  <si>
    <t>外键参照列</t>
  </si>
  <si>
    <t>pk_branch_id</t>
  </si>
  <si>
    <t>主键</t>
  </si>
  <si>
    <t>修改记录</t>
  </si>
  <si>
    <t>gjs_interest_calculation</t>
  </si>
  <si>
    <t>account_id</t>
  </si>
  <si>
    <t>账户id(资金汇入流水id)</t>
  </si>
  <si>
    <t>project_id</t>
  </si>
  <si>
    <t>项目id</t>
  </si>
  <si>
    <t>project_name</t>
  </si>
  <si>
    <t>项目名称</t>
  </si>
  <si>
    <t>payerAcc</t>
  </si>
  <si>
    <t>付款方资金账号</t>
  </si>
  <si>
    <t>transaction_price_amount</t>
  </si>
  <si>
    <t>交易价款金额</t>
  </si>
  <si>
    <t>interest_rate</t>
  </si>
  <si>
    <t>利息利率</t>
  </si>
  <si>
    <t>interest_amount</t>
  </si>
  <si>
    <t>利息总额</t>
  </si>
  <si>
    <t xml:space="preserve"> </t>
  </si>
  <si>
    <t>fruits_begin_time</t>
  </si>
  <si>
    <t>起始时间</t>
  </si>
  <si>
    <t>孳息起始时间</t>
  </si>
  <si>
    <t>fruits_end_time</t>
  </si>
  <si>
    <t>截止时间</t>
  </si>
  <si>
    <t>孳息截止时间</t>
  </si>
  <si>
    <t>gjs_create_by</t>
  </si>
  <si>
    <t>创建人</t>
  </si>
  <si>
    <t>gjs_create_time</t>
  </si>
  <si>
    <t>创建时间</t>
  </si>
  <si>
    <t>gjs_update_by</t>
  </si>
  <si>
    <t>修改人</t>
  </si>
  <si>
    <t>gjs_update_time</t>
  </si>
  <si>
    <t>修改时间</t>
  </si>
  <si>
    <t>trade_no</t>
  </si>
  <si>
    <t>北京结算流水号</t>
  </si>
  <si>
    <t>pk_account_id</t>
  </si>
  <si>
    <t>gjs_area</t>
  </si>
  <si>
    <t>area_code</t>
  </si>
  <si>
    <t>所属省、直辖市、自治区</t>
  </si>
  <si>
    <t>省份</t>
  </si>
  <si>
    <t>area_name</t>
  </si>
  <si>
    <t>区名称</t>
  </si>
  <si>
    <t>city_id</t>
  </si>
  <si>
    <t>市id</t>
  </si>
  <si>
    <t>pk_area_code</t>
  </si>
  <si>
    <t>gjs_fruits_business</t>
  </si>
  <si>
    <t>fruits_id</t>
  </si>
  <si>
    <t>孳息id</t>
  </si>
  <si>
    <t>bank_account_no</t>
  </si>
  <si>
    <t>账号</t>
  </si>
  <si>
    <t>bank_name</t>
  </si>
  <si>
    <t>开户银行</t>
  </si>
  <si>
    <t>对应SC_ZFXT_ACTOR表中的LNAME</t>
  </si>
  <si>
    <t>average_daily_balance</t>
  </si>
  <si>
    <t>日均余额</t>
  </si>
  <si>
    <t>fruits_rate</t>
  </si>
  <si>
    <t>孳息利率</t>
  </si>
  <si>
    <t>fruits_calculation</t>
  </si>
  <si>
    <t>孳息核算结果</t>
  </si>
  <si>
    <t>pk_fruits_id</t>
  </si>
  <si>
    <t>gjs_account_statement_file</t>
  </si>
  <si>
    <t>file_id</t>
  </si>
  <si>
    <t>文件标识符</t>
  </si>
  <si>
    <t>file_name</t>
  </si>
  <si>
    <t>文件名称</t>
  </si>
  <si>
    <t>file_path</t>
  </si>
  <si>
    <t>文件路径</t>
  </si>
  <si>
    <t>download_time</t>
  </si>
  <si>
    <t>对账单日期</t>
  </si>
  <si>
    <t>account_no</t>
  </si>
  <si>
    <t>交易场所虚拟账户号</t>
  </si>
  <si>
    <t>opst_account_bank_name</t>
  </si>
  <si>
    <t>开户行名称</t>
  </si>
  <si>
    <t>pk_gjs_file_id</t>
  </si>
  <si>
    <t>gjs_city_bank_relation</t>
  </si>
  <si>
    <t>relation_id</t>
  </si>
  <si>
    <t>关系id</t>
  </si>
  <si>
    <t>pk_city_bank_id</t>
  </si>
  <si>
    <t>gjs_city</t>
  </si>
  <si>
    <t>city_name</t>
  </si>
  <si>
    <t>市名称</t>
  </si>
  <si>
    <t>prov_id</t>
  </si>
  <si>
    <t>省id</t>
  </si>
  <si>
    <t>pk_city_id</t>
  </si>
  <si>
    <t>gjs_open_account_apply</t>
  </si>
  <si>
    <t>open_apply_no</t>
  </si>
  <si>
    <t>开户申请流水号</t>
  </si>
  <si>
    <t>account_type</t>
  </si>
  <si>
    <t>账户类型</t>
  </si>
  <si>
    <t>last_open_date</t>
  </si>
  <si>
    <t>最晚开户日期</t>
  </si>
  <si>
    <t>notify_url</t>
  </si>
  <si>
    <t>服务器异步通知页面路径</t>
  </si>
  <si>
    <t>remark</t>
  </si>
  <si>
    <t>notify_id</t>
  </si>
  <si>
    <t>通知id</t>
  </si>
  <si>
    <t>notify_type</t>
  </si>
  <si>
    <t>申请通知类型</t>
  </si>
  <si>
    <t>notify_time</t>
  </si>
  <si>
    <t>申请通知时间</t>
  </si>
  <si>
    <t>apply_deal_time</t>
  </si>
  <si>
    <t>申请处理时间</t>
  </si>
  <si>
    <t>account_status</t>
  </si>
  <si>
    <t>申请处理状态</t>
  </si>
  <si>
    <t>open_date</t>
  </si>
  <si>
    <t>账户开通时间</t>
  </si>
  <si>
    <t>memo_info</t>
  </si>
  <si>
    <t>申请通知备注</t>
  </si>
  <si>
    <t>account_apply_status</t>
  </si>
  <si>
    <t>账户申请状态</t>
  </si>
  <si>
    <t>0:申请中,1:申请通过,2:申请驳回</t>
  </si>
  <si>
    <t>pk_open_apply_no</t>
  </si>
  <si>
    <t>gjs_relation_repatriation</t>
  </si>
  <si>
    <t>remittance_id</t>
  </si>
  <si>
    <t>资金汇入计划id</t>
  </si>
  <si>
    <t>confirm_trade_no</t>
  </si>
  <si>
    <t>转入待确认资金流水号</t>
  </si>
  <si>
    <t>repatriation_id</t>
  </si>
  <si>
    <t>汇出计划id</t>
  </si>
  <si>
    <t>remittance_amount</t>
  </si>
  <si>
    <t>单条汇入计划的汇出金额</t>
  </si>
  <si>
    <t>client_code</t>
  </si>
  <si>
    <t>客户端编码</t>
  </si>
  <si>
    <t>（1：结算端，2：国金端，3：财务端）</t>
  </si>
  <si>
    <t>pk_relation_repatriation_id</t>
  </si>
  <si>
    <t>gjs_user_auth</t>
  </si>
  <si>
    <t>gjs_user_id</t>
  </si>
  <si>
    <t>登录用户id</t>
  </si>
  <si>
    <t>auth_id</t>
  </si>
  <si>
    <t>菜单权限id</t>
  </si>
  <si>
    <t>remark1</t>
  </si>
  <si>
    <t>备注1</t>
  </si>
  <si>
    <t>参见系统参数PUBLISHTYPE</t>
  </si>
  <si>
    <t>remark2</t>
  </si>
  <si>
    <t>备注2</t>
  </si>
  <si>
    <t>pk_relation_id</t>
  </si>
  <si>
    <t>gjs_user_info</t>
  </si>
  <si>
    <t>real_name</t>
  </si>
  <si>
    <t>真实姓名</t>
  </si>
  <si>
    <t>show_name</t>
  </si>
  <si>
    <t>显示昵称</t>
  </si>
  <si>
    <t>user_account</t>
  </si>
  <si>
    <t>用户账号</t>
  </si>
  <si>
    <t>user_password</t>
  </si>
  <si>
    <t>用户密码</t>
  </si>
  <si>
    <t>user_status</t>
  </si>
  <si>
    <t>用户状态</t>
  </si>
  <si>
    <t>0：注销，1可用</t>
  </si>
  <si>
    <t>login_status</t>
  </si>
  <si>
    <t>登录状态</t>
  </si>
  <si>
    <t>0-离线 1-在线</t>
  </si>
  <si>
    <t>login_ip</t>
  </si>
  <si>
    <t>当前登录终端ip地址</t>
  </si>
  <si>
    <t>login_date</t>
  </si>
  <si>
    <t>登录日期</t>
  </si>
  <si>
    <t>is_admin</t>
  </si>
  <si>
    <t>是否管理员</t>
  </si>
  <si>
    <t>0：管理员   1：操作员   2：复核人员   3：查询人员   4：审核人员</t>
  </si>
  <si>
    <t>user_dept</t>
  </si>
  <si>
    <t>业务部门</t>
  </si>
  <si>
    <t>所属部门</t>
  </si>
  <si>
    <t>pk_gjs_user_id</t>
  </si>
  <si>
    <t>gjs_province</t>
  </si>
  <si>
    <t>prov_name</t>
  </si>
  <si>
    <t>省名称</t>
  </si>
  <si>
    <t>pk_prov_id</t>
  </si>
  <si>
    <t>gjs_auth_sys</t>
  </si>
  <si>
    <t>subsystem_id</t>
  </si>
  <si>
    <t>所属子系统id</t>
  </si>
  <si>
    <t>subsystem_code</t>
  </si>
  <si>
    <t>所属子系统代码</t>
  </si>
  <si>
    <t>（1：国金端，2：财务端，3：结算端）</t>
  </si>
  <si>
    <t>pk_subsystem_id</t>
  </si>
  <si>
    <t>gjs_auth_info</t>
  </si>
  <si>
    <t>auth_code</t>
  </si>
  <si>
    <t>权限编号</t>
  </si>
  <si>
    <t>auth_name</t>
  </si>
  <si>
    <t>权限名称</t>
  </si>
  <si>
    <t>url</t>
  </si>
  <si>
    <t>访问url</t>
  </si>
  <si>
    <t>auth_type</t>
  </si>
  <si>
    <t>权限类型</t>
  </si>
  <si>
    <t>auth_status</t>
  </si>
  <si>
    <t>权限状态</t>
  </si>
  <si>
    <t>sort</t>
  </si>
  <si>
    <t>排序</t>
  </si>
  <si>
    <t>parent_id</t>
  </si>
  <si>
    <t>父菜单项ID</t>
  </si>
  <si>
    <t>父节点ID</t>
  </si>
  <si>
    <t>is_leaf</t>
  </si>
  <si>
    <t>是否叶子节点</t>
  </si>
  <si>
    <t>是否叶子节点（1：是，2：不是）</t>
  </si>
  <si>
    <t>gmt_create</t>
  </si>
  <si>
    <t>创建日期</t>
  </si>
  <si>
    <t>pk_auth_id</t>
  </si>
  <si>
    <t>gjs_accounting_check</t>
  </si>
  <si>
    <t>system_account_balance</t>
  </si>
  <si>
    <t>系统账户余额</t>
  </si>
  <si>
    <t>push_balance</t>
  </si>
  <si>
    <t>北登推送余额</t>
  </si>
  <si>
    <t>checked_result</t>
  </si>
  <si>
    <t>核对结果</t>
  </si>
  <si>
    <t>0-成功，1-失败</t>
  </si>
  <si>
    <t>pk_accounting_check_id</t>
  </si>
  <si>
    <t>gjs_account_info</t>
  </si>
  <si>
    <t>amount</t>
  </si>
  <si>
    <t>北登推送账户余额</t>
  </si>
  <si>
    <t>sys_amount</t>
  </si>
  <si>
    <t>系统计算账户余额</t>
  </si>
  <si>
    <t>exec_status</t>
  </si>
  <si>
    <t>执行状态</t>
  </si>
  <si>
    <t>gjs_remittance_of_funds</t>
  </si>
  <si>
    <t>payee_bank_acct_name_rsa</t>
  </si>
  <si>
    <t>线下收款银行专户名称（结算银行）</t>
  </si>
  <si>
    <t>payee_bank_acct_no_rsa</t>
  </si>
  <si>
    <t>线下收款银行专户号（结算账号）</t>
  </si>
  <si>
    <t>pay_bank_name</t>
  </si>
  <si>
    <t>结算银行</t>
  </si>
  <si>
    <t>payer_bank_acct_no_rsa</t>
  </si>
  <si>
    <t>账户号</t>
  </si>
  <si>
    <t>payer_bank_acct_name_rsa</t>
  </si>
  <si>
    <t>客户汇款银行账户名称（付款方名称）</t>
  </si>
  <si>
    <t>trans_amount</t>
  </si>
  <si>
    <t>到账金额（应汇入金额）</t>
  </si>
  <si>
    <t>trans_time</t>
  </si>
  <si>
    <t>到账时间</t>
  </si>
  <si>
    <t>identified_amount</t>
  </si>
  <si>
    <t>待认定金额（元）</t>
  </si>
  <si>
    <t>determined_amount</t>
  </si>
  <si>
    <t>已认定金额（元）</t>
  </si>
  <si>
    <t>confirmed_amount</t>
  </si>
  <si>
    <t>待确认金额（元）</t>
  </si>
  <si>
    <t>entry_datetime</t>
  </si>
  <si>
    <t>入账日期</t>
  </si>
  <si>
    <t>into_state</t>
  </si>
  <si>
    <t>资金汇入状态</t>
  </si>
  <si>
    <t>0-待匹配、1-已匹配、2-部分匹配、3-作废</t>
  </si>
  <si>
    <t>is_confirmed</t>
  </si>
  <si>
    <t>资金汇入流水表信息是否是待确认</t>
  </si>
  <si>
    <t>0-是（待认定金额全部转入待确认项），1-否（待认定金额不转入待入项），2-（应汇入金额部分转入待确认项，部分不转入）</t>
  </si>
  <si>
    <t>trans_create_time</t>
  </si>
  <si>
    <t>处理时间</t>
  </si>
  <si>
    <t>note_info</t>
  </si>
  <si>
    <t>摘要信息</t>
  </si>
  <si>
    <t>alreay_remit_amount</t>
  </si>
  <si>
    <t>流水表待确认已汇出金额</t>
  </si>
  <si>
    <t>remit_amount</t>
  </si>
  <si>
    <t>汇出金额</t>
  </si>
  <si>
    <t>pk_trade_no</t>
  </si>
  <si>
    <t>gjs_fund_of_remittance</t>
  </si>
  <si>
    <t>project_code</t>
  </si>
  <si>
    <t>项目编号</t>
  </si>
  <si>
    <t>transferor</t>
  </si>
  <si>
    <t>转让方名称</t>
  </si>
  <si>
    <t>manager</t>
  </si>
  <si>
    <t>项目经理</t>
  </si>
  <si>
    <t>usable_balance</t>
  </si>
  <si>
    <t>当前可用余额</t>
  </si>
  <si>
    <t>capital_uses</t>
  </si>
  <si>
    <t>资金用途</t>
  </si>
  <si>
    <t>保0-证金、1-交易价款、2-违约金、3-其他</t>
  </si>
  <si>
    <t>end_time</t>
  </si>
  <si>
    <t>is_save</t>
  </si>
  <si>
    <t>提交或保存</t>
  </si>
  <si>
    <t>0-提交，1-保存</t>
  </si>
  <si>
    <t>pk_remittance_id</t>
  </si>
  <si>
    <t>gjs_repatriation_of_funds</t>
  </si>
  <si>
    <t>outer_trade_no</t>
  </si>
  <si>
    <t>汇出交易流水号</t>
  </si>
  <si>
    <t>account_name</t>
  </si>
  <si>
    <t>收款方名称</t>
  </si>
  <si>
    <t>bank_line_no</t>
  </si>
  <si>
    <t xml:space="preserve">大额支付行号 </t>
  </si>
  <si>
    <t>bank_branch</t>
  </si>
  <si>
    <t>支行名称</t>
  </si>
  <si>
    <t>pay_bank_account_no</t>
  </si>
  <si>
    <t>结算账号</t>
  </si>
  <si>
    <t>pay_deadline</t>
  </si>
  <si>
    <t>汇出截止日期</t>
  </si>
  <si>
    <t>funds_purpose_out</t>
  </si>
  <si>
    <t>资金用途（资金汇出）</t>
  </si>
  <si>
    <t>repatriation_pay_time</t>
  </si>
  <si>
    <t>汇款时间</t>
  </si>
  <si>
    <t>province</t>
  </si>
  <si>
    <t>city</t>
  </si>
  <si>
    <t>城市</t>
  </si>
  <si>
    <t>card_type</t>
  </si>
  <si>
    <t>卡类型</t>
  </si>
  <si>
    <t>card_attribute</t>
  </si>
  <si>
    <t>卡属性</t>
  </si>
  <si>
    <t>purpose</t>
  </si>
  <si>
    <t>备注信息</t>
  </si>
  <si>
    <t>参见系统参数ACCNTPURPOSE</t>
  </si>
  <si>
    <t>repatriation_status</t>
  </si>
  <si>
    <t>资金汇出状态</t>
  </si>
  <si>
    <t>pk_outer_trade_no</t>
  </si>
  <si>
    <t>gjs_statement_of_funds</t>
  </si>
  <si>
    <t>statement_id</t>
  </si>
  <si>
    <t>资金流水明细id</t>
  </si>
  <si>
    <t>binding_amount</t>
  </si>
  <si>
    <t>绑定金额</t>
  </si>
  <si>
    <t>funds_into</t>
  </si>
  <si>
    <t>资金流向</t>
  </si>
  <si>
    <t>0-汇入  1汇出</t>
  </si>
  <si>
    <t>capital_operation</t>
  </si>
  <si>
    <t>资金操作</t>
  </si>
  <si>
    <t>0-资金汇入认定 1-资金汇入撤销 2-资金汇出</t>
  </si>
  <si>
    <t>pk_statement_id</t>
  </si>
  <si>
    <t>gjs_pipeline_of_planning</t>
  </si>
  <si>
    <t>association_id</t>
  </si>
  <si>
    <t>资金流水计划id</t>
  </si>
  <si>
    <t>pk_association_id</t>
  </si>
  <si>
    <t>gjs_bank</t>
  </si>
  <si>
    <t>bank_short_name</t>
  </si>
  <si>
    <t>银行简称</t>
  </si>
  <si>
    <t>pk_bank_code</t>
  </si>
  <si>
    <t>gjs_close_account_apply</t>
  </si>
  <si>
    <t>close_apply_no</t>
  </si>
  <si>
    <t>销户申请流水号</t>
  </si>
  <si>
    <t>account_close_date</t>
  </si>
  <si>
    <t>销户时间</t>
  </si>
  <si>
    <t>pk_close_apply_no</t>
  </si>
  <si>
    <t>gjs_project_info</t>
  </si>
  <si>
    <t>project_status</t>
  </si>
  <si>
    <t>项目状态</t>
  </si>
  <si>
    <t>pk_project_id</t>
  </si>
  <si>
    <t>模块名</t>
  </si>
  <si>
    <t>表空间</t>
  </si>
  <si>
    <t>分区字段</t>
  </si>
  <si>
    <t>分区开始年月</t>
  </si>
  <si>
    <t>/数据库/国金</t>
  </si>
  <si>
    <t>一般表</t>
  </si>
  <si>
    <t>类型名</t>
  </si>
  <si>
    <t>ORACLE</t>
  </si>
  <si>
    <t>DB2</t>
  </si>
  <si>
    <t>SQL Server</t>
  </si>
  <si>
    <t>JAVA</t>
  </si>
  <si>
    <t>C</t>
  </si>
  <si>
    <t>MySql</t>
  </si>
  <si>
    <t>Informix</t>
  </si>
  <si>
    <t>Sybase</t>
  </si>
  <si>
    <t>C#</t>
  </si>
  <si>
    <t>HsTTinyint</t>
  </si>
  <si>
    <t>number(3,0)</t>
  </si>
  <si>
    <t>smallint</t>
  </si>
  <si>
    <t>short</t>
  </si>
  <si>
    <t>HsTShort</t>
  </si>
  <si>
    <t>number(6,0)</t>
  </si>
  <si>
    <t>HsTInteger</t>
  </si>
  <si>
    <t>number(10,0)</t>
  </si>
  <si>
    <t>int</t>
  </si>
  <si>
    <t>HsTLong</t>
  </si>
  <si>
    <t>number(20,0)</t>
  </si>
  <si>
    <t>bigint</t>
  </si>
  <si>
    <t>long</t>
  </si>
  <si>
    <t>HsTFloat</t>
  </si>
  <si>
    <t>number(30,15)</t>
  </si>
  <si>
    <t>real</t>
  </si>
  <si>
    <t>float</t>
  </si>
  <si>
    <t>HsTDouble</t>
  </si>
  <si>
    <t>number</t>
  </si>
  <si>
    <t>double</t>
  </si>
  <si>
    <t>HsTNumeric</t>
  </si>
  <si>
    <t>number($L,$P)</t>
  </si>
  <si>
    <t>decimal($L,$P)</t>
  </si>
  <si>
    <t>HsTDecimal</t>
  </si>
  <si>
    <t>HsTChar</t>
  </si>
  <si>
    <t>char($L)</t>
  </si>
  <si>
    <t>char</t>
  </si>
  <si>
    <t>HsTVarChar</t>
  </si>
  <si>
    <t>varchar2($L)</t>
  </si>
  <si>
    <t>varchar($L)</t>
  </si>
  <si>
    <t>String</t>
  </si>
  <si>
    <t>char[$L]</t>
  </si>
  <si>
    <t>HsTNVarChar</t>
  </si>
  <si>
    <t>nvarchar2($L)</t>
  </si>
  <si>
    <t>varchar(4$L)</t>
  </si>
  <si>
    <t>char[4$L]</t>
  </si>
  <si>
    <t>HsTIntDate</t>
  </si>
  <si>
    <t>number(8,0)</t>
  </si>
  <si>
    <t>HsTIntTime</t>
  </si>
  <si>
    <t>HsTIntDatetime</t>
  </si>
  <si>
    <t>number(14,0)</t>
  </si>
  <si>
    <t>HsTDatetime</t>
  </si>
  <si>
    <t>date</t>
  </si>
  <si>
    <t>timestamp</t>
  </si>
  <si>
    <t>Date</t>
  </si>
  <si>
    <t>HsTString</t>
  </si>
  <si>
    <t>varchar2(1000)</t>
  </si>
  <si>
    <t>varchar(1000)</t>
  </si>
  <si>
    <t>char[1000]</t>
  </si>
  <si>
    <t>HsTClob</t>
  </si>
  <si>
    <t>clob</t>
  </si>
  <si>
    <t>HsTBlob</t>
  </si>
  <si>
    <t>blob</t>
  </si>
  <si>
    <t>byte[4294967296]</t>
  </si>
  <si>
    <t>STDdatetime</t>
  </si>
  <si>
    <t>日期时间</t>
  </si>
  <si>
    <t>datatime</t>
  </si>
  <si>
    <t>datetime</t>
  </si>
  <si>
    <t>类型名称</t>
  </si>
  <si>
    <t>标准类型</t>
  </si>
  <si>
    <t>长度</t>
  </si>
  <si>
    <t>精度</t>
  </si>
  <si>
    <t>是否使用</t>
  </si>
  <si>
    <t>使用说明</t>
  </si>
  <si>
    <t>HsInteger</t>
  </si>
  <si>
    <t>整型</t>
  </si>
  <si>
    <t>IntDefault</t>
  </si>
  <si>
    <t>true</t>
  </si>
  <si>
    <t xml:space="preserve">HsInteger在标准字段 [exist_num-存在个数, event_type-报文类型(chix包头专用), superior_mark-上级标记, op_order_type-会员操作指令类型, msg_length-消息长度, time_limit_k-K（年）, time_gap_n-N（年）, remaining_days-代偿期（天）, annual_days-年度天数, fund_mem_info_no-客户信息列表个数] 中使用过。
</t>
  </si>
  <si>
    <t>HsLong</t>
  </si>
  <si>
    <t>long型</t>
  </si>
  <si>
    <t xml:space="preserve">HsLong在标准字段 [bb_member_id-团成员id, investor_id-投资人id, large_value_payment_no-大额支付系统号, liquidation_no-清算系统行号] 中使用过。
</t>
  </si>
  <si>
    <t>HsDouble</t>
  </si>
  <si>
    <t>Double类型</t>
  </si>
  <si>
    <t>NumericDefault</t>
  </si>
  <si>
    <t xml:space="preserve">HsDouble在标准字段 [convert_year_num-以年为单位的期限数值, sample_value-回归测试样本值, alarm_lower-预警值下限, alarm_higher-预警值上限, real_rate_convexity-真实利率凸性, real_rate_duration-真实利率久期, valuat_rate_convexity-估价利率凸性, valuat_rate_duration-估价利率久期, real_spread_convexity-真实利差凸性, real_spread_duration-真实利差久期, real_convexity-真实凸性, real_modified_duration-真实修正久期, valuat_spread_convexity-估价利差凸性, valuat_spread_duration-估价利差久期, valuat_convexity-估价凸性, valuat_modified_duration-估价修正久期, time_limit-标准期限（年）, fixed_spread-固定利差（bp）, benchmark_rate-基准利率（%）, remaining_years-待偿期（年）] 中使用过。
</t>
  </si>
  <si>
    <t>HsChar</t>
  </si>
  <si>
    <t>字符</t>
  </si>
  <si>
    <t>1</t>
  </si>
  <si>
    <t>CharDefault</t>
  </si>
  <si>
    <t xml:space="preserve">HsChar在标准字段 [tag58_type-58标签类型, language-语言(chix包头专用), confirm_type-确认类型, confirm_side-确认方, market_status-市场状态:取值3表示闭市, operating_state_type-营业状态类型, operating_sys_type-营业系统类型, end_avbl_balance_dc-期末可用余额借贷标识, end_balance_dc-期末余额借贷标识, end_balance_option-期末余额选项, init_balance_dc-期初余额借贷标识, init_balance_option-期初余额选项, operator-运算符, request_logic-要求逻辑符, bizrole_publisher-发行人业务角色, bizrole_settlement-结算业务角色, bizrole_clear-清算业务角色, gender-性别, rel_sys-所属系统, subject_io-表内表外, accnt_type-账户类型, quote_type-报价方式, subject_dc-余额方向, step_curr_status-阶段当前状态, cond_fix_unit-基准利率指定条件生效的固定时间单位, current_status-状态, state-状态, optype-操作类型, event_source-事件来源, mc_send_priority-消息发送优先级, request_notice_type-申请类型, pay_route-付款路径, accnt_used-入账标志, publish-发布标志, isReduce-是否减免, isRate-是否存在费率, from_system-来源] 中使用过。
</t>
  </si>
  <si>
    <t>HsStatus</t>
  </si>
  <si>
    <t>状态</t>
  </si>
  <si>
    <t>2</t>
  </si>
  <si>
    <t xml:space="preserve">HsStatus在标准字段 [member_status-参与者状态, manual_order_status-指令状态, gross_order_status-全额结算指令状态, due_settle_order_status-到期结算指令状态, init_settle_order_status-首期结算指令状态, msg_state-报文状态, mc_msg_status-消息状态, old_order_status-原指令状态, transfer_status-过户状态, summary_verify_status-汇总审核状态, control_leve-控制级别, task_status-作业状态, fee_work_status-工作状态, record_state-记录状态, fund_sett_status-资金结算状态, product_sett_status-产品结算状态, brw_status-借入方状态, deal_status-处理情况, feedback_status-反馈状态, handle_status-处理状态, lock_status-锁定状态, product_status-产品状态, index_status-指标状态, data_template_status-数据模板状态, marksheet_template_status-评分表模板状态, temp_mem_status-临时会员状态, datasheet_status-数据表状态, marksheet_status-评分表状态, exec_state-执行情况, delivery_status-交割状态, exec_status-执行状态, ccy_pair_status-货币对状态, ccy_status-币种状态, workday_status-工作日状态, sub_entry_status-子项状态, dict_status-字典状态, req_status-请求状态, special_status-特殊事件状态, holder_account_status-持有人账号状态, summary_status-汇总状态, payed_status-缴费状态, invalid_status-作废状态, publish_status_XX-发布状态, use_status-使用状态, fee_cycle_status-计费周期状态, favorable_status-优惠项状态, bill_status-通知单状态, disobey_settlement_status-违约结算指令状态, confirm_case-确认情况, limit_status-限额状态, freeze_status-冻结状态, sub_sys_status-子系统状态, cfets_sys_status-外汇交易中心系统状态, interface_status-imix接口状态, deliver_status-交收状态, pledge_status-质押状态, net_kind_status-品种状态, trade_type_status-业务状态, time_status-时间状态, sys_status-系统状态, matched_status-匹配状态, order_status-指令状态, seller_status-卖方状态, buyer_status-买方状态, file_status-文件状态, error_status-错误状态, original_status-原始表状态, ex_validity-有效性, effect_status-生效状态, settlement_mem_status-结算成员状态, certificate_status-证书状态, post_status-岗位状态, login_status-登录状态, oper_status-操作员状态, publisher_mem_status-发行（创设）状态, clear_mem_status-清算会员状态, record_status-记录状态, heap_status-积数状态, enable_status-启用状态, group_status-组状态, del_status-是否已删除, execute_status-指令执行状态, mar_status-担保状态, sub_account_status-子账号状态, notice_status-通知书状态, audit_agree-复核是否通过, ic_status-发票联系人状态, code_mapping_status-内外部参与者账号映射状态, agency_status-代理状态, rights_status-权限状态, contact_status-联系人状态, sample_state-样本状态, consign_status-承销处理状态, change_status-修改处理状态, wait_status-等待状态, service_status-服务状态, settle_status-处理状态, process_status-人工处理状态, execption_status-异常状态, msg_status-消息状态, new_status-变更后流通状态, old_status-变更前流通状态, trade_status-交易状态, confirm_status-确认状态, cancel_status-撤销状态, settlement_status-结算状态, clear_status-清算状态, ack_status-提款反馈状态, op_status-处理状态, mem_status-会员状态, audit_status-复核状态, monitor_status-实时监测状态, add_status- 追加状态, check_final_status-最终合规检查状态, sub_order_status-子指令状态, run_status-运行状态, job_status-任务状态, product_net_type_status-产品轧差类型状态, config_status-配置状态, cert_handle_status-证书处理状态, fund_send_status-发电状态, fund_settle_status-处理状态, holder_status-本方状态, rival_holder_status-对手方状态, margin_report_status-保证金清单状态, margin_file_status-保证金清单文件状态, create_status-单据生成状态, upload_status-单据上传状态, message_status-数据状态, status-业务处理状态（01成功  00 失败）, putback_ref_status-投资人选择权参考信息复核状态, adjust_interest_ref_status-利率调整选择权参考信息复核状态, redeem_ref_status-赎回选择权参考信息复核状态, is_investor-是否投资人, is_publisher-是否发行人, audit_status2-复核状态2, pdf_status-导出pdf的状态, order_form_status-订单状态, is_extend-是否已延长, apply_status-申请状态, trust_account_status-托管账号状态, reg_notice_status-注册通知书状态, data_status-前置报文状态, operating_status-营业状态, cash_flow_status-出入金处理状态, payway_csdc_status-中国结算支付途径状态, payway_bank_status-商业银行支付途径状态, payway_sfzf_status-三方支付支付途径状态, reconcile_status-对账状态, flow_node_status-流程节点状态, Exchange_Flag-0-深圳场内 1-上海场内, Rece_Or_Pay_Flag-收付标志, clbz-处理标志, exeStatus-指令执行状态, exchFlag-0 深圳场内 1 上海场内, settle_audit_status-结算状态修改复核状态] 中使用过。
</t>
  </si>
  <si>
    <t>HsType</t>
  </si>
  <si>
    <t>类别</t>
  </si>
  <si>
    <t xml:space="preserve">HsType在标准字段 [risk_biz_type_status-合规检查处理状态, trade_state-交易类型, fund_msg_type-报文类型, query_flag-查询标识, biz_classify_no-业务分类编号, credit_type-普通贷记类型, serial_type-操作类型, revoke_way-撤单方式, standard_term-标准期限, pay_receive_irst_type-收付息类型, new_work_status-现工作日状态, old_work_status-原工作日状态, coupon_payment_frequency-本金支付频率, ppn_flag-定向标志, duration_type-外汇期限类型, dist_type-分销标志, member_type-参与者类型, audit_result-复核结果, cancel_result-撤销结果, adjust_dir-调整方向, confirm_result-确认结果, f_trade_dir-远端买卖方向, n_trade_dir-近端买卖方向, result-结果, send_type-发送类型, trade_kind-交易种类, fee_dir-收费方向, fund_deliver_type-交收类型, swift_entry_rec-swift入账识别, report_type-报表类型, biz_cycle_type-业务周期类型, special_type-特殊事件类别, data_from-数据来源, settle_account_type-全额结算账户类型, vostro_handle_status-来账处理状态, msg_handle_status-报文状态, switch_mode-切换方式, adjust_type-调整类型, fee_audit_type-复核类型, cycle_default_unit-周期缺省值单位, risk_biz_type-合规检查业务类型, check_status-合规检查状态, account_type-账号类型, check_amount_status-检查状态, putback_op_type-投资人选择权模式, redeem_op_type-赎回选择权模式, status_type-状态大类, detail_type-明细类型, balance_op_type-余额处理类型, account_order_type-记账请求类型, update_type-更新类型, period_execute_status-计息周期执行状态, deliver_type-交收类型, swap_data_from-外汇掉期数据来源, pledge_permute_type-质押债券置换安排, close_type-闭市类别, exec_type-执行模式, consign_type-产品承销登记类型, sys_stage-系统阶段, check_result_type-稽核结果类型, balance_check_type-稽核类型, ccy_pair_type-货币对类型, interval_type-区间类型, inter_bank_flag-是否转汇行, subject_level-会计科目级别 , full_order_type-全额结算指令类型, dispute_resolution-争议解决方式, exec_succ-执行标识, config_switch-配置开关, char_config-字符值, manage_level-管理级别, config_type-配置类型, clear_speed-清算速度, mid_rate_type-中间价标价方法, dict_type-字典类型, access_level-存取级别, monitor_biz_kind-业务大类, agency_type-代理类型, fee_summary_type-费用汇总类型, create_type-生成方式, trading_role-买卖角色, deal_role-交易角色, subinterval_type-子区间类型, main_interval_type-主区间类型, formula_param_type-计费公式参数类型, holder_type-持有人类别, favorable_type-优惠项类型, putback_order_status-回售申请指令状态, redeem_data_type-选择权数据类型, repay_execute_status-偿还计划执行状态, section_type-阶段类别, deliver_dir-收付方向, take_way-发起方式, receivable_type-应收款类型, receive_object-转账收取对象, unpledge_mode-解押方式, unfreeze_mode-解冻方式, init_due_type-首期到期类型, trans_order_type-会员指令类型, file_trans_dir-文件传输方向, msg_dir-报文方向, entry_rec-入账识别, dc_lastday-日初借贷标志, dc_lastmonth-月初借贷标志, dc_lastquarter-季初借贷标志, dc_lastyear-年初借贷标志, cash_corpus_type-除本类型, recom_period_Irst-是否需要计算计息周期和应计利息, deliver_way-收付类别, extend_type-宽限期类别, clearing_log_type-日志类型, time_type-时间类型, order_type-指令类别, ex_match_is_equal-比对是否一致, mem_bank_type-收款行类别, payable_special_status-应付款特殊支付状态, verify_type-核销类型, balance_transfer_type-转结类型, accounting_level-科目级别, accounting_type-科目类别, balance_direction-余额方向, app_company_type-适用公司, certificate_type-证书类型, rights_type-权限类型, cmd_type-命令类型, oper_prop-属性, oper_type-操作员类型, rece_pay_type-收付类型, interface_file_type-接口文件类型, pay_way_type-支付类型, fund_trans_msg_type-资金调拨报文类型, effect_type-生效类型, crmw_type-CRMW参与类型, deal_request_type-处理要求, freeze_id_type-冻结编号类型, exercise_type-行权类型, cfg_kind-参数种类, data_type-数据类型, participate_type-参与方式, clear_mem_type-清算会员类型, settlement_mem_type-结算成员类型, sub_account_type-子账号类型, mem_biz_type-参与者业务类型, ic_type-业务类型, loan_interest_period-透支计息周期, deposit_interest_period-存款计息周期, marksheet_template_type-评分表模板类型, data_template_type-数据模板类型, index_kind-指标类型, irst_status-利息入账状态, rate_type-利率类型, confirm_state-确认状态, deal_state-交易状态, trade_flag-交易标识, securitization_way-证券化方式, asset_category-资产种类, performance_guarance_type-履约保证机制, delivery_method-交割方式, publish_method-发行方式, circulating_limit_type-有限流通类型, remaining_action_method-剩余部分操作指令, irst_order_type-付息指令类型, cash_interest_status-兑付付息处理状态, irst_source_type-发行人兑付付息来源, cash_irst_deal_type-兑付付息处理方式, irst_yearday_model-计息年度天数规则, mq_type-MQ传输类型, msg_comm_cata-报文通讯种类, cfg_type-参数类型, fx_market_type-市场类型, value_type-显示值类型, index_subtype-指标子类, index_type-指标类别, check_type-检查类别, limit_type-限额类别, add_type-追加类型, bill_type-单据类型, action_type-操作类型, dc_type-借贷类型, cash_irst_type-本次利息类型, cash_irst_period-现金计息周期, irst_type-本息标志, writeoff_method-注销方式, executor_certificate_type-执行人证件类型, executor_unit-执行机构, action_method-解押方式, subject_type-科目属性, guarantee_mode-担保方式, term_unit_type-期限单位类型, feepay_mode-收费方式, redeem_type-选择权类型, base_rate_effect_mode-基准利率生效方式, irst_assign_mode-利息分配方式, interest_mode-计息方式, agency_attribute-自营代理属性, purpose-用途, trade_dir-买卖方向, instrument_type-交易工具, source_from-交易来源, clear_type-清算方式, trade_launch_mode-交易发起方式, abnormal_level-异常级别, launch_type-发起类型, cert_op_type-证书操作类型, add_time_type-保证金追加截止时间类型, irst_compute_type-利息计算类型, job_type-任务类型, init_op_type-日切处理类型, enter_account_type-入账账户类别, fundtype_change_type-资金变更类型, check_batch-检查结束场次类型, buyer_identity_type-买方身份类型, seller_identity_type-卖方身份类型, holder_identity_type-持有人身份类型, rival_identity_type-对手方身份类型, freeze_handle_type-冻结处理方式, fees_identity_type-交易身份类型, begin_dc_type-上日借贷标识, real_term_unit-期限单位, weighted_average_term_unit-加权平均期限单位, receive_and_distribute_type-过手式类型, buyer_fees_identity-买方计费身份, seller_fees_identity-卖方计费身份, holder_fees_identity-持有人计费身份, rival_fees_identity-对手方计费身份, pledge_action_type-质押操作类型, freeze_action_type-冻结操作类型, bill_paper_type-单据纸张类型, product_settle_attr_type-产品结算属性类型, charge_tag-收费标的, bill_send_type-单据发送类别, prefix_type-持有人账号首字母, in_out_type-收发方式, business_type-归档数据业务类型, ipo_type-收付种类, swift_ack-ACK, approve_status-审批状态, publish_status-发行状态, publish_object-发行对象, publish_tender_model-发行招标方式, publish_model-发行方式, publish_rate_model-发行利率计算方式, consign_model-承销方式, sec_model-担保方式, trustee_org-托管机构, trustee_form-托管形式, is_rights_product-是否含权产品, benchmark_rate_kind-基准利率种类, repayment_model-还本付息方式, app_detail_status-申购订单明细状态, app_type-申购类型, applicant_type-申购方类型(参与人类型), participants_type-参与人类型, is_member-是否会员, combine_type-组合类型, consign_account_type-承销员类别, query_table_type-查询表类型, publisher_status-发行人状态, participants_status-参与人状态, ration_model-比例配售方式, investor_status-投资人状态, dist_settlement_type-分销结算方式, inside_rate_range_status-是否在利率区间内的状态, op_type-操作类型, cfae_send_rec_flag-北金所发送接收标志, bond_status-债券状态, publish_compute_mode-发行理论计算方式, trade_market-交易流通市场, offered_type-参团类型, group_role-团内角色, group_ask_status-组团邀请状态, cluster_status-组团状态, apply_type-申请类型, placing_flag-是否定价配售完成后录入标志位, cash_flow_name-出入金业务名称, pay_type-支付方式] 中使用过。
</t>
  </si>
  <si>
    <t>HsFlag</t>
  </si>
  <si>
    <t>标志</t>
  </si>
  <si>
    <t xml:space="preserve">HsFlag在标准字段 [comm_flag-通用标志, move_flag-移动标识, support_flag-支持标志, day_clear_flag-日初归零标志, overseas_agency_flag-是否境外机构, return_flag-返回标识, block_flag-任务工作模式, job_run_flag-任务启停标志, curr_table_flag-是否当前表（1-是；0-否）, distribution_flag-是否分销, main_menu_flag-主菜单标志, count_flag-是否已计算, transform_flag-期限是否需要转换, trade_biz_flag-交易业务标志, increase_flag-增加标记, runnable_flag-是否可运行, exec_flag-执行开关, change_flag-变更标志, account_ccy_flag-是否核算币种, create_bill_flag-是否已出账单, summary_flag-是否已汇总, audit_flag-复核标志, maker_flag-是否做市商, disobey_flag-违约标志, file_flag-文件标识, timer_on_flag-是否开启定时, field_disp_flag-是否显示, effect_flag-是否已生效, corp_org_flag-是否法人机构, has_file_flag-是否有相关文件, bill_flag-是否产生回单, storage_flag-入库标识, show_flag-是否显示, sort_flag-顺序方向, send_flag-发送标志, overdraft_flag-透支标志, irst_flag-计息标志, back_flag-是否已回执, entry_flag-入账标志, calc_flag-计算标志, modi_flag-数据修改标志, regular_flag-是否规划的计息期, end_flag-末期标志, auto_flag-是否允许自动, result_flag-操作结果标志, publisher_tradelimit-发行人交易限制, finance_org_flag-是否金融机构, overdue_flag-逾期标志, tally_flag-记账标志, op_log_save_flag-是否记录操作员日志, deal_flag-操作标识：1-作废；2-处理(发送资金)；3-重发（发结算行）, publish_flag-发布状态(Y/N), self_flag-自营标识, app_time_adjust_flag-运行调整申购时间, sub_section_adjust_flag-运行调整申购区间, basic_consign_amnt_flag-簿记包含基本承销额, book_manager_flag-簿记管理人标志, menu_type-菜单类型, call_back_flag-是否允许回拨, shch_rec_status-承销结果表发送上清所状态, placing_bill_flag-配售结果通知书生成标识, publish_bill_flag-发行情况公告生成标识, accnt_flag-核算标识, child_flag-是否存在子级, force_flag-强制执行成功标记, has_sub_subject_flag-是否有下级科目, is_checked-是否切换, share_type-份额类别（缺省为‘A’，后收费'B'）] 中使用过。
</t>
  </si>
  <si>
    <t>HsBranchNo</t>
  </si>
  <si>
    <t>分支编号</t>
  </si>
  <si>
    <t>10</t>
  </si>
  <si>
    <t>0</t>
  </si>
  <si>
    <t>false</t>
  </si>
  <si>
    <t>HsBranchNo未在标准字段中使用</t>
  </si>
  <si>
    <t>HsDate</t>
  </si>
  <si>
    <t>日期</t>
  </si>
  <si>
    <t>DateDefault</t>
  </si>
  <si>
    <t xml:space="preserve">HsDate在标准字段 [platform_date-平台日期, account_biz_date-对账业务日期, sys_next_date-系统下一日期, curr_sys_date-系统当前日期, old_sys_date-原系统日期, fee_end_date-计费终止日期, fee_start_date-计费开始日期, msg_take_date-报文发起日期, msg_send_date-报文发送日期, clear_date_e-结算清算日期, clear_date_b-开始清算日期, close_date_e-结束闭市日期, close_date_b-开始闭市日期, init_date_e-结束日切日期, init_date_b-开始日切日期, limit_date_e-结束限额日期, limit_date_b-开始限额日期, trade_date_e-结束交易日期, trade_date_b-开始交易日期, last_overdraft_irstcalc_date-最近透支计息日, last_deposit_irstcalc_date-最近存款计息日, tohis_date-归历史日期, next_workday-下一个工作日, reissue_date-再发行日期, prdt_rating_end_date-评级有效终止日, prdt_rating_start_date-评级有效起始日, first_coupon_pay_date-首次本金支付日, first_pay_date_e-兑付日结束日, first_pay_date_b-兑付日开始日, maturity_date_e-到期日结束日, maturity_date_b-到期日开始日, reg_date_e-注册日期结束日, reg_date_b-注册日期开始日, publish_date_e-发行日期结束日, publish_date_b-发行日期开始日, audit_date_e-复核日期结束, audit_date_b-复核日期开始, input_date_e-录入日期结束, input_date_b-录入日期开始, last_settle_date-最近结算日期, redeem_date_e-选择权执行日(通知日)结束日期, redeem_date_b-选择权执行日(通知日)开始日期, process_date_e-处理日期结束日期, process_date_b-处理日期开始日期, recv_date-到账日, alert_date-报警时间, value_date_e-起息日结束日, value_date_b-起息日开始日, settlement_date_e-结算日期结束日, settlement_date_b-结算日期开始日, n_value_date_e-近端起息结束日, n_value_date_b-近端起息开始日, init_settle_date_e-首期结算日期结束日, init_settle_date_b-首期结算日期开始日, f_value_date_e-远端起息结束日, f_value_date_b-远端起息开始日, due_settle_date_e-到期结算日期结束日, due_settle_date_b-到期结算日期开始日, deal_date_e-成交日期结束日, deal_date_b-成交日期开始日, create_date_e-生成日期结束日, create_date_b-生成日期开始日, bill_date_e-出单日期结束日, bill_date_b-出单日期开始日, upload_date-上传日期, apply_handle_date-申请处理日期, deduct_last_date-最近扣收日, real_maturity_date-实际到期日, order_send_date-指令发送日期, brw_update_date-借入方变更日期, exec_end_date-执行结束日期, exec_start_date-执行开始日期, order_status_update_date-指令状态更新日期, product_status_update_date-产品状态更新日期, revrepo_update_date-逆回购方状态更新日期, repo_update_date-正回购方状态更新日期, service_status_update_date-服务状态更改日期, confirm_date-确认日期, bill_create_date-单据生成日期, disobey_bill_create_date-违约金单生成日期, overdue_bill_create_date-逾期催缴单生成日期, deduct_end_date-扣收终止日期, deduct_date-扣收日期, sub_sys_update_date-子系统开始更新日期, cfets_update_date-外汇交易中心更新处理日期, sub_sys_end_date-子系统开始处理日期, sub_sys_start_date-子系统开始处理日期, cfets_end_date-外汇交易中心结束处理日期, cfets_start_date-外汇交易中心处理日期, matched_status_update_date-匹配状态修改日期, s_status_update_date-卖方状态修改日期, b_status_update_date-买方状态修改日期, file_status_update_date-文件状态修改日期, overdue_status_update_date-逾期记录状态修改日期, settlement_status_update_date-结算指令状态修改日期, netting_status_update_date-轧差状态修改日期, fund_status_update_date-资金状态修改日期, clear_status_update_date-清算状态修改日期, trade_status_update_date-交易状态修改日期, novation_date-合约替代日期, original_status_update_date-原始表状态修改日期, ex_match_date-比对日期, data_end_date-数据结束日期, data_start_date-数据开始日期, check_trans_info_date-内转支付复核日期, add_trans_info_date-内转支付录入日期, handler_date-处理日期, print_date-打印日期, audit_get_date-领取日期, audit_date-复核日期, add_end_date-追加截止日期, back_date-回执日期, msg_date-消息收发日期, login_date-登录日期, ack_date-提款反馈日期, f_settle_date-远期结算日, close_date-闭市日期, mid_rate_trade_date-中间价交易日期, calendar_date-日期信息, balance_date-余额日期, origin_value_date-原起息日, redeem_book_date-赎回登记日, account_date-记账日期, occur_date-发生日期, putback_date-回售执行日, apply_end_date-行权申请截止日, apply_start_date-行权申请起始日, interest_change_date-利率调整生效日, dayend_op_date-日终处理日期, create_date-生成日期, overdue_date-逾期日期, bill_date-单据日期, limit_date-限额日期, deduct_start_date-主动扣收发起日, pledge_end_date-质押到期日期, pledge_start_date-质押起始日期, freeze_end_date-冻结到期日期, freeze_start_date-冻结开始日期, order_create_date-指令生成日期, delay_solve_date-交收完成日期, pledge_due_date-质押到期日期, pledge_begin_date-质押开始日期, due_settle_date-到期结算日期, init_settle_date-首期结算日期, pre_work_date-上一工作日, f_value_date-远端起息日, origin_f_value_date-原远端起息日, n_value_date-近端起息日, origin_n_value_date-原近端起息日, file_date-文件日期, confirmed_date-场次日期, end_avbl_balance_date-期末可用余额日期, end_balance_date-期末余额日期, init_balance_date-期初余额日期, working_date-工作日期, outdue_date-逾期日, cancel_oper_date-注销日期, oper_op_date-操作日期, biz_date-业务日期, loan_irst_day-透支结息日, loan_last_irst_day-透支最近结息日, entry_date-入账日期, freeze_deadline-冻结到期日, due_date-应到日期, exercise_date-行权日, setup_date-成立日期, cancel_date5-失效日期5, enable_date5-生效日期5, cancel_date4-失效日期4, enable_date4-生效日期4, cancel_date3-失效日期3, enable_date3-生效日期3, cancel_date2-失效日期2, enable_date2-生效日期2, cancel_date1-失效日期1, enable_date1-生效日期1, last_lirst_day-透支最近结息日, last_dirst_day-存款最近结息日, tally_day-记账日, add_date-日期, registr_date-债权债务登记日, quotation_date-报价日期, valid_date-有效日期, legal_maturity_date-法定到期日, year_end_date-年度截止日期, year_start_date-年度开始日期, settlement_date-结算日期, work_day-工作日, update_date-更新日期, trans_date-调拨日期, input_date-录入日期, op_date-日期, account_cancel_date-销户日期, account_open_date-开户日期, vostro_date-来账日期, pay_date-支付日期, rate_end_date-利率结束日期, rate_begin_date-利率开始日期, irst_date-日期, send_date-发送日期, verify_date-核销日, insert_date-操作日期, end_date-结束日期, begin_date-开始日期, effect_date-生效日期, payirst_notice_date-发行人付息/兑付通知日, theory_date-理论付息/兑付日, book_date-付息/兑付登记日, writeoff_date-注销日期, release_date-解除日期, actual_date-付息日, irst_settle_date-结息日, transfer_date-实际过户日期, process_date-质押受理日期, acted_date-实际处理日期, first_baserate_effect_date-首次基准利率生效日, first_baserate_confirm_date-首次基准利率确定日, first_pay_date-首次付息日, accrued_date-日期, first_feepay_date-首次付费日, circulating_end_date-流通结束日, circulating_start_date-流通开始日, cash_date-兑付日, maturity_date-到期日, publish_date-发行日, redeem_date-赎回日, repay_date-偿还日期, init_date-日切日期, work_date-生效日期, curr_work_day-当前营业日期, clear_date-清算日, value_date-起息日, fee_date-计费日期, apply_date-申请日期, reg_date-注册日期, draw_date-提款日期, invalid_date-失效日期, sys_date-系统日期, farleg_value_date-远端起息日, nearleg_value_date-近端起息日, deal_date-执行日期, maturity_settlement_date-到期结算日期, init_settlement_date-首期结算日期, trade_date-交易日期, product_recv_date-产品到账日期, stat_year-统计年份, stat_month-统计月份, effect_date_b-生效日期开始日, effect_date_e-生效日期结束日, invalid_date_b-失效日期开始日, invalid_date_e-失效日期结束日, begin_date_b-开始日期开始日, begin_date_e-开始日期结束日, end_date_b-结束日期开始日, end_date_e-结束日期结束日, occur_date_b-发生日期开始日, occur_date_e-发生日期结束日, summary_begin_date-汇总开始日期, summary_end_date-汇总结束日期, summary_begin_date_b-汇总开始日期开始日, summary_begin_date_e-汇总开始日期结束日, summary_end_date_b-汇总结束日期开始日, summary_end_date_e-汇总结束日期结束日, cur_login_date-本次登录日期, monitor_date-监控日期, sys_workdate-系统工作日, interp_date-插值日期, cur_server_date-服务器当前日期, cancel_date-撤销日期, option_inform_date-选择权行权通知日, obtain_data_date-获取数据的日期, accept_date-受理日期, pwd_update_date-密码更新日期, be_stat_included_date-纳入统计日期, origin_clear_date-原清算日, create_begin_date-生成开始日期, create_end_date-生成截止日期, bank_login_begin_date-结算银行登录开始日期, bank_login_end_date-结算银行登录截止日期, bank_login_out_begin_date-结算银行登出开始日期, bank_login_out_end_date-结算银行登出截止日期, bank_login_date-结算银行登录日期, bank_login_out_date-结算银行登出日期, trade_begin_date-交易开始日期, trade_end_date-交易截止日期, back_end_date-归档截止日期, approve_date-审批日期, effect_date_begin-生效开始日期, effect_date_end-生效结束日期, payirst_notice_date_begin-付息通知日开始, payirst_notice_date_end-付息通知日结束, book_date_begin-登记日开始, book_date_end-登记日结束, accrued_date_begin-应计利息日期开始, accrued_date_end-应计利息日期结束, value_date_begin-起息日开始, value_date_end-起息日结束, irst_settle_date_begin-截息日开始, irst_settle_date_end-截息日结束, sub_begin_date-申购期限起始日期, sub_end_date-申购期限截止日期, notice_date-公告日, book_begin_date-簿记建档起始日期, book_end_date-簿记建档截止日期, dist_begin_date-分销起始日期, dist_end_date-分销截止日期, pay_in_date-缴款日, credit_debt_book_date-债权债务登记日, list_circulating_date-上市流通日, corpus_cash_date-本金兑付日, first_exercise_date-首次行权日期, quote_date-报价时间, app_date-申购日期, distribute_date-分销日, consign_pay_end_date-承销商缴款截止日期, update_date2-更新日期2, last_update_date-最近更新日期, advance_repay_date-提前还本日, enquiry_date-询价日期, distribute_begin_date-分销开始日期, distribute_end_date-分销结束日期, add_input_date-补录日期, invite_date-邀请日期, summary_date-汇总日期, reconcile_date-对账日期, reconcile_finish_date-对账完成日期, finish_date-完成日期, deliver_date-交收日期, settDate-结算日期, uDate-更新日期, audit_date1-复核日期, audit_time1-复核时间, input_date1-录入日期, input_time1-录入时间, settle_audit_date-结算状态修改复核日期] 中使用过。
</t>
  </si>
  <si>
    <t>HsTime</t>
  </si>
  <si>
    <t>时间</t>
  </si>
  <si>
    <t>TimeDefault</t>
  </si>
  <si>
    <t xml:space="preserve">HsTime在标准字段 [platform_time-平台时间, last_settle_time-最近结算时间, cancel_confirm_time-撤销确认时间, cancel_time-撤销时间, exec_avg_time-平均执行时间, exec_total_time-总执行时间, invalid_time-失效时间, upload_time-上传时间, apply_handle_time-申请处理时间, switch_time-切换时间, brw_update_time-借入方变更时间, begin_time-开始时间, exec_end_time-执行结束时间, exec_start_time-执行开始时间, order_status_update_time-指令状态更新时间, product_status_update_time-产品状态更新时间, service_status_update_time-服务状态更改时间, sys_time-系统时间, confirm_time-确认时间, bill_create_time-单据生成时间, disobey_bill_create_time-违约金单生成时间, overdue_bill_create_time-逾期催缴单生成时间, freeze_end_time-冻结终止时间, freeze_start_time-冻结开始时间, deduct_end_time-扣收终止时段, deduct_time-扣收时段, alert_time-预警时间, sub_sys_update_time-子系统开始更新时间, cfets_update_time-外汇交易中心更新处理时间, sub_sys_end_time-子系统开始处理时间, sub_sys_start_time-子系统开始处理时间, cfets_end_time-外汇交易中心结束处理时间, cfets_start_time-外汇交易中心处理时间, occur_time-发生时间, netting_time-轧差时点, matched_status_update_time-匹配状态修改时间, s_status_update_time-卖方状态修改时间, b_status_update_time-买方状态修改时间, file_status_update_time-文件状态修改时间, clear_status_update_time-清算状态修改时间, trade_status_update_time-交易状态修改时间, novation_time-合约替代时间, original_status_update_time-原始表状态修改时间, ex_match_time-比对时间, cancel_oper_time-注销时间, data_end_time-数据结束时间, data_start_time-数据开始时间, pay_time-转账时间, handler_time-处理时间, oper_op_time-操作时间, settle_end_time-结算终止时间, settle_time-结算时间, entry_time-入账时间, print_time-打印时间, audit_get_time-领取时间, audit_time-复核时间, input_time-录入时间, create_time-生成时间, add_time-时间, quotation_time-报价时间, add_end_time-追加截止时间, op_time-操作时间, back_time-回执时间, vostro_time-来账时间, msg_time-消息收发时间, end_time-截止时间, start_time-起始时间, effect_time-生效时间, timing-定时时间, login_time-登录时间, apply_time-申请时间, ack_time-提款反馈时间, draw_time-提款时间, send_time-发送时间, close_time-闭市时间, last_update_time-最后更新时间, deal_time-成交时间, update_time-更新时间, trade_time-交易时间, monitor_time-监控时间, cur_login_time-本次登录时间, invoking_time-job被调起的时间, interp_time-插值时间, cur_server_time-服务器当前时间, accept_time-受理时间, login_error_time-登录错误时间, monitor_end_time-市场监测压力变化结束时间, monitor_start_time-市场监测压力变化开始时间, bank_login_time-结算银行登录时间, bank_login_out_time-结算银行登出时间, approve_time-审批时间, sub_begin_time-申购期限起始时间, sub_end_time-申购期限截止时间, book_begin_time-簿记建档起始时间, book_end_time-簿记建档截止时间, app_time-申购时间, consign_pay_end_time-承销商缴款截止时间, update_time2-更新时间2, distribute_time-分销时间, enquiry_time-询价时间, add_input_time-补录时间, invite_time-邀请时间, reconcile_finish_time-对账完成时间, dayend_auto_time-自动日终时间, init_auto_time-自动日切时间, uTime-更新时间, settle_audit_time-结算状态修改复核时间] 中使用过。
</t>
  </si>
  <si>
    <t>HsSerialNo</t>
  </si>
  <si>
    <t>流水号</t>
  </si>
  <si>
    <t xml:space="preserve">HsSerialNo在标准字段 [mc_serial_no-消息流水编号, relate_oper_no-关联操作指令编号, op_order_no-操作指令编号, fee_sn-费用流水编号, event_sn-事件流水号, join_no-关联流水号, relate_trade_no-关联交易指令编号, trade_order_no-交易指令编号, clear_sn-清算序号, order_sn-指令流水号, msg_id-消息编号, clearing_log_seq-流水号, file_sn-文件标识号, trade_seq-成交唯一顺序号, bill_no-单据号, sn-序号, serial_number-流水号, tag_no-顺序号, flow_sn-流程节点SN, result_sn-询价结果流水, group_sn-组团流水] 中使用过。
</t>
  </si>
  <si>
    <t>HsFunctionID</t>
  </si>
  <si>
    <t>功能号</t>
  </si>
  <si>
    <t xml:space="preserve">HsFunctionID在标准字段 [mc_function_no-推送功能号, back_function_no-回执功能号, service_id-服务编号, from_function_no-发起功能号, oper_op_func-操作功能, function_no-功能号, callback_function_no-回调功能号] 中使用过。
</t>
  </si>
  <si>
    <t>HsBusinessFlag</t>
  </si>
  <si>
    <t>业务标志</t>
  </si>
  <si>
    <t>HsBusinessFlag未在标准字段中使用</t>
  </si>
  <si>
    <t>HsNum</t>
  </si>
  <si>
    <t>整数</t>
  </si>
  <si>
    <t xml:space="preserve">HsNum在标准字段 [tally_line_num-被记账行数 , fee_biz_sys_num-计费业务系统数目, fee_month-计费月份, irst_timePoint_count-计息时点个数, netting_round-轧差场次, detail_biz_number-明细业务总笔数, count-记录总数(chix包头专用), limit-每页记录数(chix包头专用), start-起始记录号(chix包头专用), return_code-响应返回码(chix包头专用), calendar_month-工作日历月份, calendar_year-工作日历年份, mod_num-更新记录数, writeoff_count-注销支数, publish_count-发行支数, clear_count-清算笔数, member_pay_order_sn-会员支付指令流水号, real_thread_count-实际运行线程数, exec_count-执行次数, send_count-本次发送数目, total_count-总数, receivable_transno-应收款事务号, successed_product_num-处理成功的产品个数, product_total_num-产品总个数, diff_days-T+N, term_num-交易期限, convert_day_num-以天为单位的期限数值, interface_id-接口编号, executed_num-已执行数量, executory_num-待执行数量, prdt_publish_debit_num-产品发行科目总贷笔数, prdt_publish_credit_num-产品发行科目总借笔数, prdt_hold_debit_num-产品持有科目总借笔数, prdt_hold_credit_num-产品持有科目总贷笔数, credit_amount_num-贷方发生笔数, debit_amount_num-借方发生笔数, int_config-整数值, error_level-错误级别, trade_count-交易次数, sub_entry_sort-子项排序, try_tolerance_level-试算容忍度级别, curr_tolerance_level-当前容忍度级别, holder_num_rank-清算结算笔数排名, holder_fare_rank-清算结算金额排名, deal_num_rank-交易笔数排名, fee_amount_rank-费用排名, running_interval-运行间隔, trade_unit-交易单位, detail_total_num-明细数, add_maturity_days-新增日与到期日间隔天数, add_deduct_days-新增日与扣款日间隔天数, add_irst_days-新增日与起息日间隔天数, counter_end-计数结束值, counter_begin-计数开始值, counter_span-计数跨度（步长）, counter_value-计数值, error_counts-异常次数, alert_counts-报警次数, msg_counts-记录总数, alert_interval-预警间隔, retry_counts-重发次数, termination_count-终止笔数, to_review_count-待复核笔数, abnormal_count-异常笔数, revoke_count-撤销笔数, queue_count-排队笔数, fail_count-失败笔数, success_count-成功笔数, due_settle_method-到期结算方式, init_settle_method-首期结算方式, sys_error_no-系统错误编号, len_limit-长度限制, fund_extend-资金宽限期, bond_extend-证券宽限期, cnt_range-计数跨度, menu_num-菜单项顺序号, send_pay_days-发电与支付（起息）间隔天数, verify_days-核销间隔天数, send_irst_days-发电日与结息日间隔天数, holder_number-持有人数量, print_count-打印次数, term_days-期限天数, repo_days-回购天数, index_pri_key-索引主键, file_size-文件大小, op_seq-操作流水号, overdue_days-逾期天数(提前到款天数), cancel_msg_seq-撤销报文序号, alarm_level-预警等级, credit_num-本日贷方笔数, debit_num-本日借方笔数, op_serial_number-操作命令流水号, irst_days-本期计息天数, irst_frequency-付息频率, real_days_tsty-实际天数tsty, real_days_t-实际天数t, transfer_to_maturity_num-截止过户至到期日之间天数, term-期限, cond_fix_time_start-基准利率指定条件生效的固定时间开始, order_no-顺序号, finance_grace_period-资金宽限期, product_grace_period-产品宽限期, fee_num-笔数, settlement_type-结算方式, draw_sn-提款编号, deal_number-交易笔数, update_seq-更新序号, temp_no-临时编号, l3d_settle_failure_count-最近三日结算失败次数, l3d_settle_count-最近三日结算次数, port-端口, queue_msg_count-未读取队列信息, queue_max_msg_count-最大未读取队列信息, year_irst_days-计息年度天数, record_count-记录条数, column_count-字段个数, schedule_interval-间隔时间, retry_interval-重试间隔, invoice_amount-发票张数, reg_total_count-登记数量, login_error_count-登录错误次数, refer_amount_rank-参考金额排名, request_num-请求记录数, ensure_count-确定异常笔数, receivable_sum-应收笔数, payable_sum-应付笔数, num_reserve-备用数字型, key_term-关键期限, consign_pur_price_num-承销商申购价位及金额个数, msg_code-消息编号, download_num-下载次数, this_plan_issue_deadline-本次计划发行期限, least_multiple-最小倍数, bind_id-绑定编号, settle_rela_no-结算关系编号, total_data_count-数据总条数, priority_order-优先级顺序, recall_reissue_count-回执补发次数, resend_count-重发次数, data_keep_days-当前表保留日期, cash_num-入金笔数, flow_num-出金笔数, line_num-行号, function_id-功能号] 中使用过。
</t>
  </si>
  <si>
    <t>HsNumID</t>
  </si>
  <si>
    <t>数字编号</t>
  </si>
  <si>
    <t xml:space="preserve">HsNumID在标准字段 [log_id-日志编号, report_id-报表编号, error_no-错误号, payee_fund_sett_rela_id-收款方会员资金结算关系编号, payer_fund_sett_rela_id-付款方会员资金结算关系编号, bill_detail_id-费用单据明细编号, sub_no-子编号, calc_mode_no-计算模式编号, item_id-项目号, fee_collect_id-费用汇总编号, sub_order_id-子指令编号, subsource_id-子数据源号, item_no-项目号, thread_id-线程号, config_no-配置编号, ccy_pair_calendar_id-货币对营业日历ID, workday_calendar_id-工作日历ID, ccy_pair_biz_id-货币对业务关系ID, error_id-sql内部错误号, special_id-特殊事件编号, fee_id-收费项编号, counter_no-计数器编号, parent_id-父菜单项ID, post_id-岗位ID, dept-所属部门, accnt_ref_id-账户参数指向ID, swift_accnt_param_id-swift账户属性编号, notice_id-通知书编号, audit_id-复核流水ID, ic_id-发票联系人ID, code_mapping_id-内外部参与者账号映射ID, bizrole_id-业务角色ID, agency_id-代理关系ID, rights_id-权限ID, contact_id-联系人ID, withdrawal_account_no-主动提款收款账户检索编号, put_account_no-主动划收账户检索编号, get_account_no-主动划付账户检索编号, cfg_no-参数编号, index_id-指标号, id-编号, menu_id-菜单ID, fee_detail_id-费用明细编号, clear_biz_id-净额清算业务编号, settle_biz_id-全额结算业务编号, publisher_biz_id-发行(创设)业务编号, monitor_id-监测记录id, manual_index_id-手工指标编号, bill_id-单据编号, project_id-项目编号, invitation_bill_id-邀请函单据编号, reply_bill_id-回函单据编号, bill_id1-单据编号1, bill_id2-单据编号2, p_error_id-错误代码, p_error_no-错误序号, code_id-码表编号] 中使用过。
</t>
  </si>
  <si>
    <t>HsOperID</t>
  </si>
  <si>
    <t>操作员编号</t>
  </si>
  <si>
    <t xml:space="preserve">HsOperID在标准字段 [upload_oper_id-上传人编号, lock_oper_id-锁定操作员, confirm_oper_id-确认人编号, manager_id-经办人, print_oper_id-打印人编号, writeoff_oper_id-注销人编号, irst_order_send_user-付息指令发送人, create_oper_id-创建人编号, audit_oper_id-复核人编号, input_oper_id-录入人编号, update_oper_id-更新人编号, apply_oper_id-申请人编号, handle_oper_id-处理人编号, accept_oper_id-受理人编号, approve_oper_id-审批人编号, input_oper_id2-录入人编号2, audit_oper_id2-复核人编号2, confirm_oper_id2-确认人编号2, last_operator-最近操作人id, rec_oper_id-接受人操作员编号, add_input_oper_id-补录人编号, quote_oper_id-报价人编号, settle_audit_oper_id-结算状态修改复核人编号, settle_update_oper_id-结算状态修改人编号] 中使用过。
</t>
  </si>
  <si>
    <t>HsRate</t>
  </si>
  <si>
    <t>费率</t>
  </si>
  <si>
    <t>18</t>
  </si>
  <si>
    <t>6</t>
  </si>
  <si>
    <t xml:space="preserve">HsRate在标准字段 [success_percent-成功比例, fee_rate-费率, full_score-总分, interest_adjust_after-调整后票面利率或利差, interest_adjust_before-调整前票面利率或利差, interest_adjust_value-利率调整基点, interest_limit_upper-预计调整基点上界, interest_limit_lower-预计调整基点下界, highest_favorable_ratio-最高优惠比例, discount_ratio-折扣比例, redeem_rate-赎回比例, redeem_upper_rate-预计赎回比例上界, redeem_lower_rate-预计赎回比例下界, overdraft_rate-透支利率, limit_used_rate-占用比, spread_rate-利差, floating_rate-利率浮动比例, spread_rate5-利差5, floating_rate5-浮动比例5, spread_rate4-利差4, floating_rate4-浮动比例4, spread_rate3-利差3, floating_rate3-浮动比例3, spread_rate2-利差2, floating_rate2-浮动比例2, spread_rate1-利差1, floating_rate1-浮动比例1, score-得分, weight-权重, irst_adjust_amount-利息调整金额, base_rate-基准利率值, usd_discount-折美元折扣率, rmb_discount-折人民币折扣率, rmb_rate-折人民币汇率, overload_factor-超限因子, favorable_ratio-优惠比例, deal_rate-价格, spread_lower-利率下限, spread_upper-利率上限, spread-发行时利差, benchmark_irst_rate_init-初始基准利率, year_rate-使用年利率, coupon_rate-票面利率, discount-折扣率, rate-汇率, pledge_rate-质押比例, loan_rate-借贷费率, deviation_rate-偏离率, price_factor-价格波动因子, publish_pressure-发行压力比, crmw_pressure-凭证标的压力比, circulating_pressure-流通压力比, managed_pressure-托管压力比, hold_amount_percent-持有余额占发行量比例, rate_virtual22usd-虚拟货币2折美元汇率, rate_virtual12usd-虚拟货币1折美元汇率, rate_sur2usd-卢布折美元汇率, rate_myr2usd-林吉特折美元汇率, bidding_rate-中标利率, lead_consign_percent-主承承销比（%）, co_lead_consign_percent-联席主承承销比（%）, publish_rate-发行利率, sub_rate_upper-申购区间上限, sub_rate_lower-申购区间下限, sub_rate_unit-申购利率最小报价单位, agency_tail_rate-销售佣金费率, pre_publish_rate-预配售发行利率, fact_publish_rate-实际发行利率, purchase_rate-申购利率, consign_percent-承销比(%), base_consign_amount_scale-基本承销额占比, exclusive_prop-包销比例] 中使用过。
</t>
  </si>
  <si>
    <t>HsForexPrice</t>
  </si>
  <si>
    <t>外汇价格</t>
  </si>
  <si>
    <t xml:space="preserve">HsForexPrice在标准字段 [net_price-净价, mid_rate-中间价, price-价格, forward_rate_price-远期汇率价格] 中使用过。
</t>
  </si>
  <si>
    <t>HsHighRate</t>
  </si>
  <si>
    <t>高精度费率</t>
  </si>
  <si>
    <t>19</t>
  </si>
  <si>
    <t>15</t>
  </si>
  <si>
    <t xml:space="preserve">HsHighRate在标准字段 [temp_accrued_interest_total-累计百元面额应计利息（元）, maturity_forecast_yield-到期预计收益率 , subinterval_lower-子区间下限, subinterval_upper-子区间上限, floor_interest-截去利息尾差, floor_corpus-截去本金尾差, real_yield-真实收益率（%）, valuat_yield-估价收益率（%）, end_day_interest-日终应计利息（元）, during_day_interest-日间应计利息（元）, avg_yield-平均收益率, maturity_yield-到期收益率, weighted_average_price-加权平均收益率, up_desc-涨跌幅(%), yield-收益率(%), sell_yield-卖出收益率, yield_spread-收益率差(BP), buy_yield-买入收益率, repay_percent-偿还金额占发行总额比, temp_accrued_interest-百元应计利息（元）] 中使用过。
</t>
  </si>
  <si>
    <t>HsHighPrice</t>
  </si>
  <si>
    <t>高精度价格</t>
  </si>
  <si>
    <t xml:space="preserve">HsHighPrice在标准字段 [first_asset_pool_yield-首期资产池收益率（%）, reissue_amount-再发行量（亿）, f_valuat_full_price-远期估值全价（元）, publish_face_value-发行面额, hundred_remaining_corpus-剩余本金（元/百元面值）, real_basis_pv-真实基点价值, real_net_price-真实净价（元）, real_full_price-真实全价（元）, valuat_basis_pv-估价基点价值, end_day_valuat_full-日终估价全价（元）, during_day_valuat_full-日间估价全价（元）, valuat_net_price-估价净价（元）, swap_point-掉期点(BP), weighted_average_net-加权平均净价, sell_net_price-卖出净价, net_price_diff-净价差额, buy_net_price-买入净价, temp_remaining_corpus-百元面额剩余本金, cash_remaining_corpus_back-本次兑付后剩余本金, cash_remaining_corpus-本次兑付剩余本金, cash_remaining_corpus_front-本次兑付前剩余本金, century_publish_price-发行价格(元/百元面值), clean_price-百元净价（元）, full_price-百元全价（元）, cash_price-兑付价格] 中使用过。
</t>
  </si>
  <si>
    <t>HsRisk</t>
  </si>
  <si>
    <t>风险</t>
  </si>
  <si>
    <t>16</t>
  </si>
  <si>
    <t>4</t>
  </si>
  <si>
    <t xml:space="preserve">HsRisk在标准字段 [bond_price_factor-现券价格波动因子, credit_factor-会员资信因子, close_days-平仓天数, riskcfg_x-风控参数X, far_bond_price_factor-远期价格变动因子] 中使用过。
</t>
  </si>
  <si>
    <t>HsPrice</t>
  </si>
  <si>
    <t>价格</t>
  </si>
  <si>
    <t>3</t>
  </si>
  <si>
    <t xml:space="preserve">HsPrice在标准字段 [during_day_valuat_clean-日间估值净价] 中使用过。
</t>
  </si>
  <si>
    <t>HsQuantity</t>
  </si>
  <si>
    <t>数量</t>
  </si>
  <si>
    <t xml:space="preserve">HsQuantity在标准字段 [cancel_accnt_num-销户数, open_accnt_num-开户数, credit_num_quarter-本季贷方笔数, debit_num_quarter-本季借方笔数] 中使用过。
</t>
  </si>
  <si>
    <t>HsMidAmount</t>
  </si>
  <si>
    <t>中精金额（万元）</t>
  </si>
  <si>
    <t>25</t>
  </si>
  <si>
    <t xml:space="preserve">HsMidAmount在标准字段 [to_pay_value-待付面值, netting_value-轧差面值, sell_value-卖出面值, buy_value-买入面值, new_face_value-新产品面值, old_face_value-原产品面值, adjust_value-调整面值, lowest_amount-最低额度, putback_apply_amount-行权数量, min_trade_value-最小交易面额, return_value-返还面值, replace_value-替换面值, enable_value-可用面值, to_receive_value-待收面值, real_receive_value-实收面值, real_pay_value-实付面值, pay_value-应付面值, receive_value-应收面值, delay_value-延迟交收面值, pledge_value-质押券面值, face_value-产品面值, section_amount5-分段金额5, section_amount4-分段金额4, section_amount3-分段金额3, section_amount2-分段金额2, section_amount1-分段金额1, put_remain_balance-主动划收保有金额, put_min_amount-主动划收最低金额, get_remain_balance-主动划付保有金额, acc_deal_amount-累计成交量(万元), asset_size-资产规模（万元）, index_value-指标值, product_receive_amount-产品应收量(万元), product_pay_amount-产品应付量(万元), underlying_debt_amount-标的债务流通总量(万元), tick_size-最小交易单位（万元面值）, publish_amount-发行总额(万元), repay_amount-偿还金额(万元), product_face_value-产品面额(万元), overdue_value-逾期欠券面值, trans_dayend_value_full-交易总额日终估值全价, debit_amount_info-借方发生额, plan_publish_amount-计划发行金额（万元）, fact_publish_amount-实际发行金额（万元）, base_consign_amount-基本承销额（万元）, sub_amount_lower-申购金额下限(万元), sub_unit-申购单位(万元), publish_scale-发行规模(万元), bond_scale-债券规模(万元), pre_ration_amount-预承销/认购金额（万元）, fact_ration_amount-实际承销/认购金额（万元）, purchase_amount-申购金额(万元), dist_amount-分销份额（万元）, purchase_confirm_amount-申购确认金额(万元), base_consign_total-基本承销总额（万元）, fact_ration_total-实际配售总额（万元）, sub_price_upper-申购价格区间上限, sub_price_lower-申购价格区间下限, exclusive_sales_amonut-预包销金额（万元）, reg_amount-注册金额（万元）, fact_ration_total_amount-包销总额（万元）, fact_exclusive_sales_amonut-实际包销金额（万元）, face_amount-券面总额(万元)] 中使用过。
</t>
  </si>
  <si>
    <t>HsAmount</t>
  </si>
  <si>
    <t>金额</t>
  </si>
  <si>
    <t xml:space="preserve">HsAmount在标准字段 [begin_usable_balance-上日可用余额, begin_loan_limit-上日透支限额, begin_freeze_balance-上日冻结余额, begin_account_balance-上日账户余额, overdraft_interest-透支利息合计, pledge_total_balance-质押产品合计余额, pledge_total_amount-质押产品合计面额, init_limit-初始限额, subject_amnt_chg-发生面额(元), clear_value-清算面额, aft_clear_amount-轧差后清算金额, bef_clear_amount-轧差前清算金额, payment_amount-支付金额, to_pay_amount-待付金额, cash_amount-现金交割金额, diff_amnt-差额, pledge_amount-质押面额, remaining_amount-剩余金额, last_amount-发生后面额, consign_amount-承销额度, net_pledge_amount-净额质押面额, to_perform_amount-待行权数量, trade_amount-交易数量, dec_amount-应减券面额, dec_amount_real-实际减券面额, fee-费用, delay_amount-延迟交收金额, prdt_publish_chg-产品持有科目总变更（借-贷）, prdt_publish_debit-产品发行科目总贷, prdt_publish_credit-产品发行科目总借, prdt_hold_chg-产品持有科目总变更（贷-借）, prdt_hold_debit-产品持有科目总借, prdt_hold_credit-产品持有科目总贷, account_detail_total_amount-明细汇总账户总余额, account_total_amount-账户总余额, subject_amount_last_add_chg-账户科目昨日余额加变更, subject_amount_chg-当日科目变化, subject_amount_last-昨日科目余额, subject_amount-科目余额, settlement_rate-结算利息, loan_fee-费用, sum_detail_amount-明细金额汇总, irst_next_start-下一个计息期起始日, try_clear_net_amount-试算清算净额, try_limit-试算限额, max_limit-最大限额, next_limit-下一级限额, curr_limit-当前限额, param_value-存放数字的参数值, begin_balance-上日余额, account_balance-账户余额, freeze_balance-冻结余额, standard_fare-标准费用, holder_num_amount-清算结算笔数, holder_fare_amount-清算结算金额, fee_amount-收费金额, main_interval_lower-主区间下限, main_interval_upper-主区间上限, lower-下限, upper-上限, exe_corpus_amount-行权兑付本金面额, corpus_upper-回售本金面额上限, corpus_lower-回售本金面额下限, putback_unit-回售基本单位, putback_price-回售价格, contra_amount-对应币种成交金额, ccy_net_amount-货币净值, return_amount-返还金额, to_receive_amount-待收金额, fund_thistime_recv_amount-资金本次到账金额, limit_used_amount-占用额度, trade_limit-交易限额, not_received_amount-未收金额, pledge_balance-质押余额, full_pledge_amount-全额质押面额, wait_freeze_amount-待冻结面额, real_freeze_amount-实际冻结面额, desire_freeze_amount-拟冻结面额, balance_lastday-日初余额, balance_lastmonth-月初余额, credit_amount_quarter-本季贷方发生额, debit_amount_quarter-本季借方发生额, balance_lastquarter-季初余额, balance_lastyear-年初余额, real_pay_amount-实付金额, real_receive_amount-实收金额, pay_amount-应付金额, receive_amount-应收金额, due_settle_amount-到期结算金额, init_settle_amount-首期结算金额, accrued_interest-应计利息, f_nobase_amount-远端非基础货币的成交金额, n_nobase_amount-近端非基础货币的成交金额, f_base_amount-远端基础币种成交量, n_base_amount-近端基础币种成交量, dealt_amount-报价币种成交量, end_avbl_balance-期末可用余额金额, end_balance-期末余额, init_balance-期初余额, payable_new_amount-应付款新增金额, trans_pay_amount-转账支付金额, trans_canpay_amount-可转账支付金额, loan_limit-透支限额, overdraw_irst_amount-透支利息金额, unfreeze_amount-解冻金额, occur_amount-发生金额, get_min_amount-主动划付最低金额, overdraw_irst_adjust_amount-透支利息调整额, deposit_irst_adjust_amount-存款利息调整金额, irst_bearing_amount-计息金额, amount5-备用5, amount4-备用4, amount3-备用3, amount2-备用2, amount1-备用1, issued_amount-已发行, freeze_amount-冻结金额, to_repurchase_amount-待购回, obligation_amount-待付, available_amount-可用, total_amount-总额, parent_value-分母值, child_value-分子值, real_action_amount-实际操作面额, desire_action_amount-拟操作面额, cltrl_balance-质押余额, total_interest-总兑付利息, total_corpus-总兑付本金, pay_interest-本次支付利息, pay_corpus-本次支付本金, pay_totalfund-本次支付总金额, obj_ticket_irst-标的券利息, obj_ticket_facevalue-标的券总面额, self_settle_net_amount-自营清算净额, agency_settle_net_amount-代理清算净额, self_amount-自营金额, agency_amount-代理金额, current_value-当前值, pre_balance-预算值, current_balance-当前值, add_amount_daytime-日间追加金额, add_amount_realtime-追加金额检测值, change_req-日终变动保证金要求, change_req_realtime-变动保证金要求检测值, mar_base_req-最低保证金要求, mar_balance-保证金余额, mar_add_amount-保证金追加金额, mar_require_amount-保证金要求, quota_amount-额度发生额, usable_balance-当前可用余额, credit_change_aggregate-贷方调整积数, debit_change_aggregate-借方调整积数, credit_balance-贷方余额, debit_balance-借方余额, overdue_amount-逾期欠款金额, min_amount-最低金额要求, total_balance-本日账户总余额, debit_total_amount-借方发生额总额, credit_total_amount-贷方发生额总额, last_total_balance-昨日账户总余额, settlement_amount-结算金额, deal_amount-成交金额, favorable_amount-优惠金额, disobey_amount-违约值, receivable_amount-应收金额, alarm_value-预警值, net_amount-买卖净额, nobase_amount-非基准货币金额, base_amount-基准货币金额, out_amount-调出金额, opst_amount-另一币种成交量, risk_amount-折美元, last_credit_balance-上日贷方余额, last_debit_balance-上日借方余额, credit_amount-贷方发生额, debit_amount-借方发生额, circulation_balance-剩余流通量, writeoff_amount-注销面额, notpay_interest-剩余利息, notpay_corpus-剩余本金, release_interest-已解除利息, release_corpus-已解除本金, hand_interest-暂不划付利息, hand_corpus-暂不划付本金, interest_amount-利息总额, corpus_amount-兑付本金, real_transfer_amount-实际过户金额, desire_transfer_amount-拟过户面额, money_receive_amount-资金应收量, money_pay_amount-资金应付量, draw_amount_usd-折美元金额, draw_amount-金额, redeem_price-价格(元/百元面值), sell_amount-卖出金额, buy_amount-买入金额, involved_amount-涉及金额, maturity_amount-到期结算金额（元）, maturity_accured_interest-到期应计利息（元）, initial_accrued_interest-首期应计利息（元）, loan_amount-借贷费用（元）, fund_buy_amount-买入金额, fund_sell_amount-卖出金额, curr_tolerance_value-当前容忍度值, try_tolerance_value-试算下一级容忍度值, try_mar_increase-试算保证金增额, curr_mar_req_amount-当前限额下保证金要求, overdraft_balance-透支余额, mar_adding_amount-保证金追加在途, net_to_repurchase_amount-净额待购回数量, full_to_repurchase_amount-全额待购回数量, reg_total_amount-登记面额, amount_sur-卢布金额, amount_myr-林吉特金额, amount_aud-澳元金额, amount_cad-加元金额, amount_jpy-日元金额, amount_sgd-新加坡元金额, amount_chf-瑞士法郎金额, amount_cny-人名币金额, amount_hkd-港币金额, amount_gbp-英镑金额, amount_eur-欧元金额, amount_usd-美元金额, remain_total_amount-剩余总额, sum_occur_amount-累计发生金额, single_favorable_amount-单笔优惠金额, standard_fare_used-原始标准费用, refer_amount-参考金额, final_favorable_amount-最后单笔优惠金额, remain_hand_corpus_amount-剩余暂不划付本金科目余额, single_favorable_amount_usd-单笔优惠金额(折美元), standard_fare_usd-标准费用折美元, final_favorable_amount_usd-最后单笔优惠金额(折美元), orig_standard_fare-原始标准费用, unpay_amount-未缴金额, work_alarm_value-当前生效预警值, work_current_value-当前生效参数值, request_amnt-申请金额, fixed_amnt-定期利息金额, float_amnt-活期利息金额, day_fixed_balance-当日定期余额, day_float_balance-当日活期余额, day_fixed_debit_amnt-当日定期借方发生额, day_fixed_credit_amnt-当日定期贷方发生额, day_float_debit_amnt-当日活期借方发生额, day_float_credit_amnt-当日活期贷方发生额, fixed_debit_amnt-定期借方发生金额, fixed_credit_amnt-定期贷方发生金额, float_debit_amnt-活期借方发生金额, float_credit_amnt-活期贷方发生金额, rece_pay_amount-应收应付金额, transfer_amount-调拨金额, fix_balance-定期余额, float_balance-活期余额, corpus_pay_amount-本金不暂扣数量, interest_pay_amount-利息不暂扣数量, repay_corpus_total-本次偿还本金总额（元）, remaining_corpus-剩余本金值（元/百元面值）, repay_corpus-偿还本金值, reg_amount_undue_limit-注册金额中未到期额度, bond_fir_org_amount-回拨债券1回拨前发行额, bond_fir_for_amount-回拨债券1回拨后发行额, bond_sec_org_amount-回拨债券2回拨前发行额, bond_sec_for_amount-回拨债券2回拨后发行额, bond_plan_issue-债券计划发行规模, plan_reg_amnt_limit-拟注册额度, this_plan_issue-本次计划发行规模, highest_base_consign_amount-最高基本承销额, advance_repay_amount-提前还本额, intention_quantity-意向投标量, ration_amount-获配额度, purchase_total-申购总额, Total_Backend_Load-交易后端收费总额, trans_amt-转移资金, buyer_total_fees-买方总费用, saler_total_fees-卖方总费用, buyer_handle_charge-买方经手费, saler_handle_charge-卖方经手费, buyer_stamp_duty-买方印花税, saler_stamp_duty-卖方印花税, buyer_irst_amount-买方基金账户利息金额, buyer_transfer_fee-买方过户费, saler_transfer_fee-卖方过户费, buyer_agency_fee-买方代理费, saler_agency_fee-卖方代理费, buyer_settle_fee-买方结算费, saler_settle_fee-卖方结算费, buyer_supervisionfee-买方监管规费, saler_supervisionfee-卖方监管规费, heap-积数, saler_irst_amount-卖方基金账户利息金额, init_freeze_balance-日初（期初）冻结余额, init_debit_balance-日初（期初）借方余额, init_credit_balance-日初（期初）贷方余额, cur_debit_amount-本日（本期）借方金额, cur_credit_amount-本日（本期）贷方金额, end_freeze_balance-日末（期末）冻结余额, end_debit_balance-日末（期末）借方余额, end_credit_balance-日末（期末）贷方余额, init_credit_fbalance-日初（期初）贷方冻结余额, init_debit_fbalance-日初（期初）借方冻结余额, end_credit_fbalance-日末（期末）贷方冻结余额, end_debit_fbalance-日末（期末）借方冻结余额, settle_cash_balance-结算出金金额, settle_flow_balance-结算入金金额, other_cash_balance-其他入金金额, other_flow_balance-其他出金金额, begin_irst_amount-上日利息金额, credited_usable_balance-信用保证金可用余额, credited_freeze_balance-信用保证金冻结余额, cash_usable_balance-现金保证金可用余额, cash_freeze_balance-现金保证金冻结余额, trust_usable_balance-托管保证金可用余额, trust_freeze_balance-托管保证金冻结余额, process_freeze_amount-人工冻结金额, tran_freeze_amount-交易冻结金额] 中使用过。
</t>
  </si>
  <si>
    <t>HsHighAmount</t>
  </si>
  <si>
    <t>高精金额</t>
  </si>
  <si>
    <t xml:space="preserve">HsHighAmount在标准字段 [redeem_corpus-赎回百元本金面额, redeem_corpus_after-赎回后百元本金面额, redeem_corpus_before-赎回前百元本金面额] 中使用过。
</t>
  </si>
  <si>
    <t>HsTotalAmount</t>
  </si>
  <si>
    <t>总金额</t>
  </si>
  <si>
    <t>22</t>
  </si>
  <si>
    <t xml:space="preserve">HsTotalAmount在标准字段 [amount_ex-扩展金额, balance-余额] 中使用过。
</t>
  </si>
  <si>
    <t>HsType2</t>
  </si>
  <si>
    <t>类型2（2个字符）</t>
  </si>
  <si>
    <t>StrDefault</t>
  </si>
  <si>
    <t xml:space="preserve">HsType2在标准字段 [project_type-项目类型, settle_agency_type-结算代理方式, member_pay_order_type-会员支付指令类型, ccy_flag-是否本币交易, receivable_manturity_status-应收款到期日处理状态, receivable_verify_status-应收款核销日处理状态, receivable_cancle_status-应收款主动扣收撤销状态, receivable_deduted_status-应收款主动扣收状态, biz_category-业务大类, fund_trans_status-资金调拨状态, receivable_send_status-应收款发电处理状态, receive_status-收款状态, dayend_op_type-日终处理类型, special_account_type-机内账户类型, oper_flag-操作标识号, accnt_ref_type-账户参数指向类型, party_type-关系人类别, pay_purpose-用途, verify_msg_type-核销报文类型, sec_freeze_use-次选冻结账户用途, sec_biz_type-次选冻结账户业务类别, first_freeze_use-首选冻结账户用途, first_biz_type-首选冻结账户业务类别, sub_maker_type-做市商子类型, maker_type-做市商类型, request_type-请求类型, circulating_limits-流通范围, deal_type-成交类型, publish_scope-发行范围, circulating_ground-流通场所, product_type-产品类型, product_category-产品大类, trade_type-交易方式, update_order_type-更新指令类型, org_property_re2-企业性质二次维护, rec_pay_status-应收应付数据状态, clspot_type-FX-SBT有效性, clswap_type-FX-SWAP有效性, clforward_type-FX-FWD有效性, forex_contrast_validity-询价比对有效性, from_deposit_type-源保证金类型, to_deposit_type-目的保证金类型, publish_flow_node-发行流程节点, publish_ground-发行场所, trade_circulate_market-交易流通市场, bond_type-债券类型, function_type-功能类型, bond_rule-债券项目参与角色, mem_role-会员角色, market_body-市场主体, acct_type-记账类型, cash_biz_type-出入金类型, account_category-资金结算账户类别, institution_category-机构类别] 中使用过。
</t>
  </si>
  <si>
    <t>HsChar2</t>
  </si>
  <si>
    <t>字符2</t>
  </si>
  <si>
    <t xml:space="preserve">HsChar2在标准字段 [curr_sys_state-系统当前状态, old_sys_state-原系统状态, biz_fun_no-业务功能号, country_code-国家代码, comm_status-通信业务状态, ccy_accnt_code-币种账务代码, category-类别, stage_status-系统阶段状态, fund_currency-币种代码, country_code_re2-国家二次维护, map_type_code-映射关系种类代码, deposit_type-保证金类型, notice_level-提醒级别] 中使用过。
</t>
  </si>
  <si>
    <t>HsMoneyType</t>
  </si>
  <si>
    <t>币种</t>
  </si>
  <si>
    <t xml:space="preserve">HsMoneyType在标准字段 [trade_ccy-交易货币, non_basic_ccy-非基础货币, basic_ccy-基础货币, exchange_trade_ccy-外汇交易币种, dealt_ccy-报价货币 , end_avbl_balance_ccy-期末可用余额币种, end_balance_ccy-期末余额币种, init_balance_ccy-期初余额币种, currency_convert-折算后币种, settle_ccy-结算币种, overdue_ccy-逾期币种, currency2-币种2, currency1-币种1, sw_ccy_code-SWIFT币种代码, draw_currency-币种, currency-币种, nobase_ccy-非基准货币, base_ccy-基准货币, sell_ccy-卖出币种, buy_ccy-买入币种, fund_buy_swift_ccy-买入货币SWIFT币种, fund_sell_swift_ccy-卖出货币SWIFT币种, currency_sur-卢布币种, currency_myr-林吉特币种, currency_aud-澳元币种, currency_cad-加元币种, currency_jpy-日元币种, currency_sgd-新加坡元币种, currency_chf-瑞士法郎币种, currency_cny-人民币币种, currency_hkd-港币币种, currency_gbp-英镑币种, currency_eur-欧元币种, currency_usd-美元币种, Currency_Type-结算币种] 中使用过。
</t>
  </si>
  <si>
    <t>HsChar3</t>
  </si>
  <si>
    <t>字符3</t>
  </si>
  <si>
    <t xml:space="preserve">HsChar3在标准字段 [imix_fx_msg_type-外汇交易中心定义的消息类型, execute_stage-执行阶段, ex_identity_type-身份类型, swift_cur-swift币种代码, rate_code-利率代码, Capital_Type-资金类型, dbf_type-dbf文件类型] 中使用过。
</t>
  </si>
  <si>
    <t>HsChar4</t>
  </si>
  <si>
    <t>字符4</t>
  </si>
  <si>
    <t xml:space="preserve">HsChar4在标准字段 [project_code-项目代码, query_way-查询方式, app_id-应用标识, permit_cushion_fund-是否允许垫资, return_state-返还状态, holiday_flag-节假日标志, fee_return_type-计费与返还类型, npc_op_status-NPC处理状态, superior_state_code-上级营业状态代码, operating_state_code-营业状态代码, swift_biz_type-业务类型, biz_priority-业务优先级, cert_type-证件类型, request_code-要求代码, rate_type_id-利率种类代码, clear_mem_sub_type-清算会员子类型, fund_path-支付途径, biz_type-业务类型, issue_type-消息发布类型, bank_code-银行代码, receibank_code-收款方银行代码, paymentbank_code-付款方银行代码, bank_province_code-省份代码, bank_region_code-地区代码] 中使用过。
</t>
  </si>
  <si>
    <t>HsChar5</t>
  </si>
  <si>
    <t>字符5</t>
  </si>
  <si>
    <t>5</t>
  </si>
  <si>
    <t xml:space="preserve">HsChar5在标准字段 [old_biz_type-原业务类型编码, file_language-文件语言, jca_bank_code-JCA清算银行代码, biz_kind-业务种类, page_no-分页号, statement_no-对账单号, flow_serial_num-流程节点序号, pay_channel_type-支付渠道类型] 中使用过。
</t>
  </si>
  <si>
    <t>HsZip</t>
  </si>
  <si>
    <t>邮编</t>
  </si>
  <si>
    <t>HsZip未在标准字段中使用</t>
  </si>
  <si>
    <t>HsChar6</t>
  </si>
  <si>
    <t>字符6</t>
  </si>
  <si>
    <t xml:space="preserve">HsChar6在标准字段 [hvps_biz_kind-报文业务种类, hvps_biz_type-报文业务类型, op_code-处理码, settle_type_code-结算款种类代码, freeze_type_code-冻结资金种类代码, relate_task_code-关联作业代码, parent_task_code-父作业代码, channel_no-渠道标识, calendar_kind-营业日历种类, audit_type-复核类型, area_code-所属省、直辖市、自治区, fund_type_code-资金种类代码, weighted_average_term-加权平均期限, in_bank-调入行, out_bank-调出行, foreign_bank_code-外币清算行代码, ccy_code-币种代码对照1, postcode-邮编, trans_biz_type-即时转账业务类型, exchange_biz_type-汇兑报文业务类型, area_code_re2-省份、区域、地市二次维护, settle_flag-结算标识] 中使用过。
</t>
  </si>
  <si>
    <t>HsSeatID</t>
  </si>
  <si>
    <t>席位号</t>
  </si>
  <si>
    <t>8</t>
  </si>
  <si>
    <t>HsSeatID未在标准字段中使用</t>
  </si>
  <si>
    <t>HsChar8</t>
  </si>
  <si>
    <t>字符8</t>
  </si>
  <si>
    <t xml:space="preserve">HsChar8在标准字段 [package_no-swift报文编号, trade_batchid-交易批次号, p_accounting_code-上级会计科目代码, accounting_code-会计科目代码, notice_type-通知书类型, alt_class_val-辅助分类值, pay_seq-支付序号, ccy_pair-货币对] 中使用过。
</t>
  </si>
  <si>
    <t>HsChar10</t>
  </si>
  <si>
    <t>字符10</t>
  </si>
  <si>
    <t xml:space="preserve">HsChar10在标准字段 [msg_encoding-消息编码, non_basic_ccy_calendar-非基础货币营业日历, basic_ccy_calendar-基础货币营业日历, cfets_interface_type-cfets接口类型, withdrawal_path_no-主动提款路径编号, subpackage_no-swift子报文编号, levels-级别数, usd_calendar-美元工作日历, cny_calendar-人民币工作日历, msg_src-消息渠道, receivable_payable_kind_code-应收款\应付款种类代码, term_unit-期限单位, product_limits-产品限制, process_id-进程Id, attr_no-属性显示顺序, calendar_code-工作日历种类代码, dict_entry2-字典条目2, dict_entry-字典条目, buyer_mem_code-买方参与者编号, period_type-交易期限, subinterval_unit-子区间期限单位, main_interval_unit-主区间期限单位, fee_type-费用项目, cycle_default_value-周期缺省值, receivable_kind_code-应收款种类代码, imix_value4-类型可选域4值, imix_tag4-类型可选域4, imix_value3-类型可选域3值, imix_tag3-类型可选域3, imix_value2-类型可选域2值, imix_tag2-类型可选域2, imix_value1-类型可选域1值, imix_tag1-类型可选域1, imix_35_tag-imix35域值, interface_type-接口类型, cfets_sys-外汇交易中心系统, file_type-文件类型, net_kind-清算品种, netting_kind-轧差品种, f_period_type-远端交易期限, n_period_type-近端交易期限, sub_msg_no-子报文编号, from_system_code-发起子系统代码, party_settle_sys-关系人清算系统, main_rating-主体评级, bond_rating-债券评级, real_term-实际期限, trade_data_type-业务数据类型, payee_mem_code-收款参与者编号, sw_type-报文类型, spec_mem_code-特殊参与者编号, publisher_mem_code-发行人参与者编号, pause_mem_code-原冻结参与者编号, fun_code-功能代码, pre_step_id-上一阶段ID, ccy_id-币种账务标识, action-更新操作, sub_sys_code-子系统代码, p_mem_code-代理参与者编号, step_id-当前系统阶段, auditor-复核员, swift_interface_version-SWIFT接口版本号, child_sys_stage-系统二级子阶段编号, cnaps_0bc-大额支付报文记录支付交易序号, log_level-日志级别, bond_bank_indicator-保证金银行权限, principal_cl_indicator-本金结算行权限, publish_type-发布类型, to_company-接收方, input_type-录入类型, flow_no-流程编号, flow_node_serial_num-流程节点序号, flow_node_no-流程节点编号, product_flow_node_sn-流程编号, mem_code-参与人编号, credit_mem_code-贷方会员代码, debit_mem_code-借方会员代码, in_payway_code-调入支付途径, out_payway_code-调出支付途径, Transaction_Cfm_Date-交易确认日期, Transaction_Date-交易发生日期, Return_Code-交易处理返回代码, Business_Code-业务代码, payer_mem_code-付款参与人编号, deal_time_str-成交时间, declaration_time_str-申报时间, parent_flow_node_no-父流程节点代码, Distributor_Code-销售商代码, Branch_Code-托管网点编号, payeeMCode-收款方参与人编号, deliver_extend-交收宽限期, terms-周期, charges_standard-收费标准, fee_from-费用来源, fund_type-资金类型, old_code-旧码, new_code-新码, sub_fee_type-费用小类] 中使用过。
</t>
  </si>
  <si>
    <t>HsChar12</t>
  </si>
  <si>
    <t>字符12</t>
  </si>
  <si>
    <t>12</t>
  </si>
  <si>
    <t xml:space="preserve">HsChar12在标准字段 [order_bank_bic-指示行bic, clr_bank_bic-清算行bic, rcv_bank_clrbank_bic-接收行清算行bic, payee_bank_clrbank_bic-收款行清算行号BIC, holder_a_Bic-持有人A的BIC, holder_b_Bic-持有人B的BIC, holder_bic-持有人的BIC, sum_count-资金总笔数, success_sum_count-资金成功总笔数, error_count-错误次数] 中使用过。
</t>
  </si>
  <si>
    <t>HsBankNo</t>
  </si>
  <si>
    <t>银行行号</t>
  </si>
  <si>
    <t>14</t>
  </si>
  <si>
    <t xml:space="preserve">HsBankNo在标准字段 [be_query_clr_bank_no-被查询清算行行号, clear_bank_no-清算行行号, mem_open_bank_no-客户开户行行号, discount_clrbank_no-扣息清算行行号, be_tally_bank_no-被记账行行号, opst_account_bank-对方开户行行号, payee_bank_clrbank_no-收款行清算行号, rcv_bank_clrbank_no-接收行清算行号, send_msg_bank_no-发报行编号, payee_clrbank_no-收款人清算行行号, payer_clrbank_no-付款人清算行行号, payer_open_bank_no-付款人开户行行号, payer_bank_no-付款人行号, payee_bank_no-收款人行号, payee_open_bank_no-收款人开户行号, bank_no-开户行行号, s_clear_bank_no-发起(接收)清算行行号] 中使用过。
</t>
  </si>
  <si>
    <t>HsBondCode</t>
  </si>
  <si>
    <t>债券代码</t>
  </si>
  <si>
    <t>HsBondCode未在标准字段中使用</t>
  </si>
  <si>
    <t>HsChar13</t>
  </si>
  <si>
    <t>字符13</t>
  </si>
  <si>
    <t>13</t>
  </si>
  <si>
    <t>资金内部账号</t>
  </si>
  <si>
    <t xml:space="preserve">HsChar13在标准字段 [receivable_odft_irst_accnt-应收透支利息账号, overdraft_irst_income_accnt-透支利息收入账号, overdraft_provision_accnt-透支备抵核算账号, overdraft_accnt-透支核算账号, irst_dep_pay_accnt-存款利息付息账号] 中使用过。
</t>
  </si>
  <si>
    <t>HsChar15</t>
  </si>
  <si>
    <t>字符15</t>
  </si>
  <si>
    <t>资金外部账号</t>
  </si>
  <si>
    <t xml:space="preserve">HsChar15在标准字段 [receive_pay_type_code-应收应付类别号, fund_kind_code-资金收付类别号, receive_pay_id-应收应付款编号, receivable_maturity_no-应收款到期日处理编号, receivable_verify_no-应收款核销日处理编号, receivable_cancel_no-应收款发电撤销指令编号, receivable_send_no-应收款发电序号, receivable_no-应收款编号, pay_way_code-支付途径代码, settlement_bank_code-结算银行代码, entry_account-入账账号, put_fund_path-主动划收支付途径, get_fund_path-主动划付支付途径, external_accnt_id-外部账户账号, rece_pay_no-应收应付编号, mem_bic-会员bic] 中使用过。
</t>
  </si>
  <si>
    <t>HsChar16</t>
  </si>
  <si>
    <t>字符16</t>
  </si>
  <si>
    <t xml:space="preserve">HsChar16在标准字段 [terminal_no-终端号, fx_type-外汇业务类型, special_bic-特殊bic, origin_trade_no-原交易编号, sub_entry2-字典子项2, sub_entry-字典子项, sender_ref-发送方参考号, adjust_id-账务调整编号, internal_account-内部账户账号, en_sys_status-允许系统状态, op_sn-操作流水号, party_bic-关系人BIC, freeze_order_id-冻结指令事物号, after_freeze_detail_id-后一冻结明细编号, pre_freeze_detail_id-前一冻结明细编号, freeze_detail_id-冻结明细编号, freeze_id-冻结编号, cltrl_detail_id-质押明细号, action_id-操作编号, cash_code-兑付付息编号, order_id-指令编号, mid_bank_bic-中间行BIC, transfer_id-非交易过户指令编号, fund_tack_no-业务跟踪号, cancel_order_id-被撤销指令编号, center_clear_type-集中清算类型, last_status-上次运行状态, run_state-运行结果, related_reference-MT202的tag21, msg_from-发起系统, msg_to-接收系统, bank_pro_code-银行产品code] 中使用过。
</t>
  </si>
  <si>
    <t>HsChar18</t>
  </si>
  <si>
    <t>字符18</t>
  </si>
  <si>
    <t>HsChar18未在标准字段中使用</t>
  </si>
  <si>
    <t>HsChar9</t>
  </si>
  <si>
    <t>字符9</t>
  </si>
  <si>
    <t>9</t>
  </si>
  <si>
    <t xml:space="preserve">HsChar9在标准字段 [zero_balance_account-零余额账户账号] 中使用过。
</t>
  </si>
  <si>
    <t>HsChar14</t>
  </si>
  <si>
    <t>字符14</t>
  </si>
  <si>
    <t xml:space="preserve">HsChar14在标准字段 [fee_participant-计费直接参与者, msg_taker-报文发起人] 中使用过。
</t>
  </si>
  <si>
    <t>HsChar19</t>
  </si>
  <si>
    <t>字符19</t>
  </si>
  <si>
    <t>HsChar19未在标准字段中使用</t>
  </si>
  <si>
    <t>HsBankSerialID</t>
  </si>
  <si>
    <t>银行流水号</t>
  </si>
  <si>
    <t>20</t>
  </si>
  <si>
    <t>HsBankSerialID未在标准字段中使用</t>
  </si>
  <si>
    <t>HsChar20</t>
  </si>
  <si>
    <t>字符20</t>
  </si>
  <si>
    <t xml:space="preserve">HsChar20在标准字段 [platform_serialno-平台流水号, return_info-响应信息, comm_reference_no-通信级参考号, comm_no-通信级标识号, msg_type_code-报文类型代码, hvps_msg_type-大额报文类型, account_bank_no-账户行编号, member_pay_order_no-会员支付指令编号, mem_biz_type_str-参与者业务类型(多选), option_bond_no-选择权信息编号, mc_msg_livetime-消息有效期, signature_length-签名长度, cfets_pwd-CFETS密码, cfets_user_name-CFETS用户名, test_req_id-心跳检测ID, qq-QQ, task_code-作业代码, fee_summary_id-费用汇总编号, fee_favorable_sn-优惠项流水号, credit_subject_code-贷方科目代码, debit_subject_code-借方科目代码, froze_holder_account-原冻结持有人账号, product_consign_sn-承销流水号, balance_chg_sn-余额变更流水号, product_cancel_no-产品注销编号, product_status_change_no-产品状态变更编号, product_status_legal_no-产品状态变更合法编号, rival_deal_role-对手方交易角色, our_deal_role-本方交易角色, p_subject_code-上级会计科目代码, ccy_pair_name-货币对名称, mid_rate_unit-中间价标价单位, interest_no-利率调整选择权信息编号, putback_no-回售选择权信息编号, org_type2-机构类别二次维护, detail_notice_id-明细通知单, pay_notice_id-缴费通知单, fee_bill_id-费用单据编号, bill_paper_id-单据文件编号, pay_serial_num-缴费流水号, fee_biz_kind-业务品种, netting_id-扎差池编号, formula_id-计费公式编号, formula_param_item_id-计费公式参数明细编号, formula_param_id-计费公式参数编号, fee_param_id-收费项参数编号, cycle_default_id-周期缺省值编号, fee_cycle_id-计费周期编号, favorable_org_id-优惠关联机构编号, favorable_param_id-优惠项参数编号, favorable_id-优惠项编号, old_putback_order_no-原回售申请指令单号, putback_order_no-回售申请指令单号, ref_no-对应的选择权/行权参考信息编号, redeem_no-赎回选择权信息编号, replace_product_code-替换券代码, product_mapping_id-产品映射id, product_trade_limit_id-产品交易限制id, fixinc_smecnii_id-集合票据发行人信息ID, trans_order_no-会员收付指令编号, imix_msg_id-IMIX消息唯一号, irst_order_return_code-兑付兑息指令返回编码, tool_btn-对应工具栏按钮, login_ip-当前登录终端ip地址, party_settle_sys_code-关系人清算系统代码, product_sub_catg-产品小类, group_code-组号, transfer_account-冻结扣划收款账号, product_net_type-产品轧差类型, contact_type-联系人类型, process_no-指令处理编号, credit_holder_account-贷记方持有人账号, debit_holder_account-借记方持有人账号, execute_no-执行编号, bond_code-债券代码, pub_creditrate2-发行人信用评级2, holder_account_in-融入方持有人账号, holder_account_out-融出方持有人账号, pub_creditrate-发行人信用评级, asset_type-资产类型, msg_type-报文类型, msg_from_code-发起机构, clrbank_short_name-清算行简称, irst_order-付息指令序号, executor_certificate_code-执行人证件号码, subject_code-科目代码, ccy_name-币种名称, mar_type-保证金类型, guarantee_level-担保机构信用级别, main_level-主体级别, prdt_rating-债项评级, benchmark_irst_rate-基准利率种类, tel_number2-电话2, tel_number1-电话1, org_type-机构类别, msg_no-报文标识号, type_code-类型代码, back_code-处理回执码, other_prdt_code-其他机构内产品代码, external_org_code-外部机构代码, product_src_id-产品源代码, product_code-产品代码, product_class-产品类别, mq_status-MQ状态, hostname-IP地址, mq_connection-连接目标, mq_channel_status-通道状态, cnaps_type-大额报文指令类型, scene_type-业务场景类型, feedback_id-反馈序列号, log_seq-日志序号, invoice_id-单据发票编号, clear_bank_account_bank_no-清算银行账户行代码, prdt_rating2-债项评级2, ccy_unit_zh_name-币种单位中文, ccy_unit_en_name-币种单位英文, org_type_first-一级机构类别, org_type_first2-一级机构类别二次维护, job_action-定时任务动作, stock_bill_id-证券簿记单据ID, stock_id-证券簿记业务ID, company_id-机构ID, sub_comp_id-子机构ID, message_type-消息类型, login_id-登录编号, publish_id-发布编号, message_sn-业务消息ID, hint_id-编号, attr_id-参数编号, gage_id-抵押品, gage_type-抵押品分类, gage_bond-抵押品债券, send_user_code-发送人代码, fx_mem_bic-外汇会员BIC, irst_order_no-付息指令编号, lead_manager_fax-主承传真, co_lead_manager_fax-联席主承传真, bond_term-债券期限, comm_type-沟通方式, app_detail_code-申购订单明细编号, app_code-申购订单编号, dist_code-分销编号, app_offer_code-申购要约编号, ration_sn-配售序号, temp_cal_id-计算预配售中间表id, change_serial-变更流水号, res_detail_code-申购要约明细编号, res_code-申购要约编号, bond_fir_code-回拨债券1代码, bond_sec_code-回拨债券2代码, temp_bond_code-临时债券编码, bond_id-债券编码, bond_fir_id-回拨债券1编号, bond_sec_id-回拨债券2编号, app_mem_code-申购方机构代码, app_mem_name-申购方机构名称, ApplicationAmount-申请金额, Fund_Code-产品代码, Transaction_Account_ID-产品交易帐号, Charge-手续费, Agency_Fee-代理费, Other_Fee1-其他费用1, Other_Fee2-其他费用2, Interest-基金账户利息金额, Interest_Tax-利息税, Tax-税金, Min_Fee-最少收费, Transfer_Fee-过户费, Total_Trans_Fee-交易确认费用合计, Change_Fee-转换费, Recuperate_Fee-补差费, Change_Agency_Fee-转换代理费, Recuperate_Agency_Fee-补差代理费, Raise_Interest-认购期间利息, Breach_Fee-违约金, Breach_FeeBack_To_Fund-违约金, Punish_Fee-惩罚性费用, Achievement_Pay-业绩报酬, Achievement_Compen-业绩补偿, Supervisionfee-监管规费, Settle_Fee-结算费, Handle_Charge-经手费, Target_Transaction_Account_ID-对方交易账号, fee1-费用1, fee2-费用2, fee3-费用3, p_user_id-用户id, fee4-费用4, fee5-费用5, fee6-费用6, fee7-费用7, fee8-费用8, fee9-费用9, Application_Vol-申请基金份数, customer_no-二级账号, Sequence_NO-序号, sbbh-申报编号, jgdm-处理结果, index_sbbh-索引申报编号, old_name-旧名称, new_name-新名称, from_sys-系统标识, new_account_no-新资金账号] 中使用过。
</t>
  </si>
  <si>
    <t>HsMemberID</t>
  </si>
  <si>
    <t>参与者编号</t>
  </si>
  <si>
    <t xml:space="preserve">HsMemberID在标准字段 [replace_mem_id-替换方编号, in_member_id-融入方参与者编号, out_member_id-融出方参与者编号, froze_member_id-原冻结参与者编号, brw_mem_id-借入方参与者编号, revrepo_mem_id-逆回购方参与者编号, repo_mem_id-正回购方参与者编号, s_agency_mem_id-卖方代理参与者编号, seller_mem_id-卖方参与者编号, b_agency_mem_id-买方代理参与者编号, r_agency_mem_id-对手方代理参与者编号, agency_mem_id-代理参与者编号, rival_mem_id-对手方参与者编号, agencyed_mem_id-被代理参与者编号, maker_mem_id-Maker参与者编号, taker_mem_id-Taker参与者编号, temp_mem_id-临时参与者编号, member_id-参与者编号, rival_p_mem_id-对手方代理参与者编号, principle_mem_id-被代理参与者编号, credit_mem_id-贷记方参与者编号, debit_mem_id-借记方参与者编号] 中使用过。
</t>
  </si>
  <si>
    <t>HsMemCode</t>
  </si>
  <si>
    <t>会员代码</t>
  </si>
  <si>
    <t>HsMemCode未在标准字段中使用</t>
  </si>
  <si>
    <t>HsHolderAccount</t>
  </si>
  <si>
    <t>持有人账号</t>
  </si>
  <si>
    <t xml:space="preserve">HsHolderAccount在标准字段 [rival_agency_holder_account-对手方代理持有人账号, operator_holder_account-操作人持有人账号, brw_oper_holder_account-借入方操作持有人账号, revrp_oper_holder_account-逆回购方操作持有人账号, rp_oper_holder_account-正回购方操作持有人账号, s_oper_holder_account-卖方操作持有人账号, b_oper_holder_account-买方操作持有人账号, oper_holder_account-操作持有人账号, brw_holder_account-借入方持有人账号, revrepo_holder_account-逆回购方持有人账号, repo_holder_account-正回购方持有人账号, principal_holder_account-被代理持有人账号, agency_holder_account-代理持有人账号, payee_agency_ral_account-收款人代理关系人持有人账号, clear_account-核算账号, un_corp_bank-非法人机构对应的托管银行, agency_querier_account-代理查询人持有人账号, holder_account-持有人账号, publisher_account-发行人账号, holder_account_a-持有人账号A, holder_account_b-持有人账号B, holder_account_like-持有人账号, agen_deliver_holder_account-代理收付持有人账号, pay_holder_account-缴费持有人, book_manager-簿记管理人, lead_manager-主承销商, co_lead_manager-联席主承销商, applicant_account-申购方账号, holder_ta_account-上清所登记托管账号, consign_account-上一级别账号, investor_account-投资人账号, trust_account-托管账号, buyer_trust_account-买方托管账户号, debit_trust_account-借方托管账号, credit_trust_account-贷方托管账号] 中使用过。
</t>
  </si>
  <si>
    <t>HsFundAccount</t>
  </si>
  <si>
    <t>资金账号</t>
  </si>
  <si>
    <t xml:space="preserve">HsFundAccount在标准字段 [irst_receive_account_no-收息账户号, out_debit_account-表外借方账号, not_received_account-未收金额核算账户, account_no-账号, fix_account_no-定期账户账号, float_account_no-活期账户账号, from_account_no-源保证金账户账号, to_account_no-目的保证金账户账号, debit_account-借方账户号, credit_account-贷方账户号] 中使用过。
</t>
  </si>
  <si>
    <t>HsOperCode</t>
  </si>
  <si>
    <t>操作员代码</t>
  </si>
  <si>
    <t xml:space="preserve">HsOperCode在标准字段 [oper_code-操作员代码] 中使用过。
</t>
  </si>
  <si>
    <t>HsChar24</t>
  </si>
  <si>
    <t>字符24</t>
  </si>
  <si>
    <t>24</t>
  </si>
  <si>
    <t xml:space="preserve">HsChar24在标准字段 [due_settlement_order_id-到期结算指令编号, init_settlement_order_id-首期结算指令编号, primary_order_id-主结算指令编号, fund_no-款项编号, account_order_no-记账请求编号, disobey_order_id-违约指令编号, fund_order_id-资金结算指令编号, deliver_order_id-收付指令编号, pledge_order_id-质押指令编号, pub_product_code-发行期产品代码, settlement_order_id-结算指令编号, product_order_id-产品结算指令编号] 中使用过。
</t>
  </si>
  <si>
    <t>HsPassword</t>
  </si>
  <si>
    <t>密码</t>
  </si>
  <si>
    <t>32</t>
  </si>
  <si>
    <t xml:space="preserve">HsPassword在标准字段 [oper_new_pwd-操作员新密码, oper_old_pwd-操作员旧密码, oper_pwd-操作员密码] 中使用过。
</t>
  </si>
  <si>
    <t>HsPhone</t>
  </si>
  <si>
    <t>电话号码</t>
  </si>
  <si>
    <t xml:space="preserve">HsPhone在标准字段 [contact_phone-联系人手机, lead_manager_phone-主承联系电话, co_lead_manager_phone-联席主承联系电话] 中使用过。
</t>
  </si>
  <si>
    <t>HsBankAccount</t>
  </si>
  <si>
    <t>银行账号</t>
  </si>
  <si>
    <t xml:space="preserve">HsBankAccount在标准字段 [payee_account-收款账户账号, pay_account-付款账户账号, bank_account_no-账号, commission_account_no-销售佣金账号] 中使用过。
</t>
  </si>
  <si>
    <t>HsPosStr</t>
  </si>
  <si>
    <t>字符型定位串</t>
  </si>
  <si>
    <t xml:space="preserve">HsPosStr在标准字段 [postion_str-定位串, position_str-定位串] 中使用过。
</t>
  </si>
  <si>
    <t>HsProductCode</t>
  </si>
  <si>
    <t>产品代码</t>
  </si>
  <si>
    <t xml:space="preserve">HsProductCode在标准字段 [pledge_code-质押券代码] 中使用过。
</t>
  </si>
  <si>
    <t>HsIDNo</t>
  </si>
  <si>
    <t>证件号码</t>
  </si>
  <si>
    <t xml:space="preserve">HsIDNo在标准字段 [cert_no-证件号码, other_cert_no-其他证件号] 中使用过。
</t>
  </si>
  <si>
    <t>HsName</t>
  </si>
  <si>
    <t>姓名</t>
  </si>
  <si>
    <t xml:space="preserve">HsName在标准字段 [irst_order_send_name-付息指令发送人姓名, manager_name-经办人姓名, cancel_confirm_oper_name-撤销确认人姓名, cancel_oper_name-撤销人姓名, pay_confirm_oper_name-付款确认人姓名, upload_oper_name-上传人姓名, lock_oper_name-锁定操作员名称, confirm_oper_name-确认人姓名, print_oper_name-打印用户姓名, writeoff_oper_name-注销人姓名, ic_contact-联系人, update_oper_name-更新人姓名, audit_oper_name-复核人姓名, input_oper_name-录入人姓名, contact2-第二联络责任人, contact1-第一联络责任人, factory_name-工厂类名, apply_oper_name-申请人名称, handle_oper_name-处理人名称, accept_oper_name-受理人姓名, approve_oper_name-审批人姓名, lead_manager_contact-主承联系人, co_lead_manager_contact-联席主承联系人, inquiry_oper_name-询价人员, quote_oper_name-报价人员, busi_entity-法定代表人, input_oper_name2-录入人姓名2, audit_oper_name2-复核人姓名2, confirm_oper_name2-确认人姓名2, add_input_oper_name-补录入名称, settle_audit_oper_name-结算状态修改复核人姓名, settle_update_oper_name-结算状态修改人姓名] 中使用过。
</t>
  </si>
  <si>
    <t>HsChar32</t>
  </si>
  <si>
    <t>字符32</t>
  </si>
  <si>
    <t xml:space="preserve">HsChar32在标准字段 [busi_type-业务类型, be_query_fund_biz_no-被查询的资金业务受理编号, mem_account-客户账号, return_fund_no-被返还的资金业务受理编号, discard_biz_no-被丢弃的业务受理编号, resp_fund_no-被应答的资金流水号, pay_biz_no-支付业务受理编号, cert-证书(chix包头专用), mac_addr-mac地址, managed_duration-托管期限, publish_duration-发行期限, correlation_fund_no-款项关联编号, session_id-会话ID, table_source-表来源, vostro_no-来账编号, fund_biz_no-资金业务受理编号, param_id-参数编号, brw_fund_account-借入方资金账号, brw_cnaps_code-借入方支付系统行号, revrepo_fund_account-逆回购方资金账号, revrepo_cnaps_code-逆回购方支付系统行号, repo_fund_account-正回购方资金账号, repo_cnaps_code-正回购方支付系统行号, seller_fund_account-卖方资金账号, buyer_fund_account-买方资金账号, trade_report_id-tradeRpt号, exec_code-执行返回代码, process_name-进程名称, dest_table-目的表, src_table-源表, item_name-项目名称, publish_country-发行国家/地区, common_ref-共用参考号, related_ref-关联参考号, matched_proc-匹配过程, marksheet_detail_id-评分表项ID, marksheet_code-评分表编码, datasheet_detail_id-数据表项ID, template_detail_id-模板项ID, fee_cycle-计费周期, cfets_id-会员代码, fund_trans_no-资金调拨编号, detail_id-明细编号, prefix_value-前缀值, related_biz_no-有关业务编号, accnt_ident-账户标识, external_trade_no-业务交易编号, ower_id-所有者编码, datasheet_code-数据表编码, index_group-指标种类, version-版本号, menu_prompt-菜单提示, menu_title-菜单标题, post_name-岗位名称, biz_id-业务标识号, settle_fund_id-会员结算款编号, settle_msg_chg_ref_id-结算银行与核销报文类型中间表指向需要变更的id, settle_msg_type_id-结算银行与核销报文类型中间表的编号, mem_settle_chg_ref_id-会员资金结算关系变更指向需要变更的id, accnt_change_ref_id-账户参数变更指向需要变更的id, mem_settle_rela_id-会员资金结算关系编号, mem_settle_rela_limit_id-会员资金结算关系限制编号, pay_way_limit_id-支付途径限制编号, party_accnt_no-关系人账号, self_trans_accnt_param_id-内转账户属性编号, hvps_accnt_param_id-大额账户属性编号, auto_trans_group-自动调拨归属组别, ccy_account_no-币别+会计科目号或者会计账户账号, entry_serial_no-账务流水号, pay_msg_seq-支付报文序号, bondname_contain-名称包含字段, netting_pool_id-轧差池编号, sub_account_code-子账号编号, trade_types-交易方式(多选), marksheet_template_code-评分表模板代码, template_detail_code-模板项代码, data_template_code-数据模板编码, index_code-指标代码, internal_rating-内部评级, sec_main_rating-担保方主体评级, secured_name-担保方名称, rights_information-含权信息, bond_kind-债券品种, sell_settle_speed-卖出清算速度, buy_settle_speed-买入清算速度, quotation_user-报价方, transfer_holder_account-划转持有人账号, payer_account-付款账户账号, type_name-类码名称, payee_accnt-收款人账号, org_mem_code-持有人在其他机构内的代码, maker_cfets_id-maker中心代码, taker_cfets_id-taker中心代码, buyer_src_id-买方来源账户, seller_src_id-卖方来源账户, reference_biz_no-关联业务编号, file_md5-文件MD5码, block_md5-文件块MD5码, need_his_table_name-需归档表名, his_table_name-归档历史表名, biz_serial_no-业务流水号, cnaps_serial_no-大额支付报文记录流水号, favorable_clear_type_str-清算会员类型字串, favorable_settlement_type_str-结算成员类型字串, system_account_no-本系统对应账户账号, opst_system_account_no-对方系统账户账号, fx_mem_code-外汇会员代码, weight_code-权重代码, from_gage_id-源抵押品ID, to_gage_id-目的抵押品ID, mem_request_number-会员申请编号, pay_bank_code-付款行, pay_serial-SWIFT参考号, publisher_org_code-发行人组织机构代码, sec_name-担保人, lock_table_name-锁定表名称, bind_account_no-绑定账户号, prod_account_no-产品账户号, fund_account-资金账号, card_no-银行账号, otcbb_account-交易市场资金账户, otcbb_seq_id-交易流水, otcbb_pre_seqId-原资金通知流水, receicard_no-收款银行账号, paycard_no-付款银行账号, collect_account-募集账号, settle_params-交收参数, zwjm-所处文件名, dto_serialize_type-数据传输对象序列化类型, fee_no-费用编号, payerAcc-付款方资金账号, payeeAcc-收款方资金账号, settAmount-结算金额, fee_serial-费用流水, exterNo-委托编号, feeRate-费率, reduce_rate-减免比例, begin_number-区间上限, end_number-区间下限, market_rate-市场费率, ori_settle_fund_id-原结算编号, origamount-应收金额, fee_sett_id-结算流水号, up_charge-费用上限, low_charge-费用下限] 中使用过。
</t>
  </si>
  <si>
    <t>HsChar40</t>
  </si>
  <si>
    <t>字符40</t>
  </si>
  <si>
    <t>40</t>
  </si>
  <si>
    <t xml:space="preserve">HsChar40在标准字段 [next_process_id-后一进程, mc_from_node-发送节点名, settle_type_name-结算款种类名称, freeze_type_name-冻结资金种类名称, withdrawal_path_name-主动提款收款路径名称, rate_type_name-利率种类名称, pre_process_id-前一进程Id, monitor_kind-监控类别, irst_receive_account_name-收息账户名, receivable_kind_name-应收款种类名称, party_d4-全名址4, party_d3-全名址3, party_d2-全名址2, party_d1-全名址1, party_place-关系人地域, fund_type_name-资金种类名称, clrbank_name-清算行名称, attr_code-属性代码, receive_user-接收人] 中使用过。
</t>
  </si>
  <si>
    <t>HsChar50</t>
  </si>
  <si>
    <t>字符50</t>
  </si>
  <si>
    <t>50</t>
  </si>
  <si>
    <t xml:space="preserve">HsChar50在标准字段 [calendar_category-工作日历种类代码或者名称, sub_entry_name2-子项名称2, dict_name2-字典名称2, msg_desc-报文描述信息, msg_ref_seq-消息参考号, security_code-文件验证码, file_en_title-文件英文标题, platform-成交达成平台, login_node-登录节点, msn-MSN, operating_sys_name-营业系统名称, old_trade_seq-原始交易编号, param_name-参数名称, market_name-市场名称, calendar_name-工作日历种类名称, sub_entry_name-子项中文名称, dict_en_name-字典英文名称, dict_name-字典名称, proc_name-过程名, p_accounting_name-上级会计科目名称, present_unit-计量单位, icon_index-图标, short_cut-快捷键, function_name-功能名称, def_taker-默认发起人, branch_no-分支机构序号, contact_tel-联系人办公电话, credibility-可信度, time_limit_desc-期限描述, curve_type-曲线类型, curve_name-曲线名称, bond_shortname-债券简称, bond_name-债券名称, pub_creditrate_agency_name2-发行人信用评级机构简称2, pub_creditrate_agency_name-发行人信用评级机构简称, index_cn_name-索引中文名称, file_id-文件标识符, cfg_value-设置值, msg_ref_no-关联流水号, executor_name-执行人姓名, fax-传真, other_cert-其他证件, finance_lic_code-金融许可证号, org_code-机构代码, biz_lic_code-营业执照号, attr_name-属性名称, imix_msg_code-IMIX消息编码, src_trade_id-源交易号, trade_id-成交编号, related_trade_id-关联源交易号, queue_manager-队列管理器, mq_channel_name-通道名称, mq_channel_type-通道类型, mq_queue_name-队列名, file_notice_name-预通知文件名称, file_notice_id-预通知文件标识符, print_data_file_id-发票文件ID, recipient_file_id-信封文件ID, message_content-业务消息摘要, gage_name-抵押品名称, send_user_name-发送人名称, reference_id-发送人的关联号, collasgnid-通知号, value_currency-面值币种, flow_name-流程名称, flow_node_name-流程节点名称, business_id-业务识别代码, mseqnum-消息流水号, payee_bank_account-收款银行账户号, payer_bank_account-付款银行账户号, fee_type_name-费用类型名称, sub_fee_name-费用小类名称] 中使用过。
</t>
  </si>
  <si>
    <t>HsEnPassword</t>
  </si>
  <si>
    <t>增强型密码</t>
  </si>
  <si>
    <t>64</t>
  </si>
  <si>
    <t>HsEnPassword未在标准字段中使用</t>
  </si>
  <si>
    <t>HsName2</t>
  </si>
  <si>
    <t xml:space="preserve">HsName2在标准字段 [module_name-模块名称, serial_no_name-流水号名称, trade_type_name-交易类型名称, trade_dir_name-买卖方向名称, settlement_mem_type_name-结算成员类型名称, settle_agency_type_name-结算代理方式名称, ppn_flag_name-定向标志名称, org_level2_type_name-二级机构类型名称, org_level2_type-二级机构类型, org_type_name-机构类型名称, industry_level2_name-二级行业名称, industry_level2-二级行业, industry_name-行业名称, fx_type_name-外汇业务类型名称, end_flag_name-末期标志名称, duration_type_name-外汇期限类型名称, dist_type_name-分销标志名称, clear_mem_type_name-清算会员类型名称, config_name-配置名称, marksheet_name-评分表名称, net_kind_name-品种名称, datasheet_name-数据表名称, menu_en_name-菜单英文名称, publisher_name2-发行人户名, marksheet_template_name-评分表模板名称, data_template_name-数据模板名称, index_name-指标名称, subtype_name-子类名称, biz_type_name-业务名称, limit_type_name-限额类别名称, weight_name-权重名称] 中使用过。
</t>
  </si>
  <si>
    <t>HsChar64</t>
  </si>
  <si>
    <t>字符64</t>
  </si>
  <si>
    <t xml:space="preserve">HsChar64在标准字段 [file_type_str-文件类型（多选）, sign-签名(chix包头专用), ar_info-AR信息, job_id-任务Id, confirm_status_str-确认状态（多选）, op_type_str-操作类型（多选）, op_order_status-指令可操作状态, en_participate_role-参与角色（可多选）, en_init_settlement_status-首期结算指令状态（可多选）, en_due_settlement_status-到期结算指令状态（可多选）, currency_str-币种（多选）, bill_type_str-单据类型（多选）, config_fun_name-取对应限额参数函数名, business_name2-业务名称, business_name1-业务名称, business_name-业务名称, certificate_no-证书编号, payee_open_bank_name-收款人开户行行名, payer_open_bank_name-付款人开户行行名, cfg_type_name-参数类别名称, audit_status_name-复核状态名称, rcv_bank_clrbank_name-接收行清算行名称, payee_bank_clrbank_name-收款行清算行名称, product_net_type_name-产品轧差类型名称, mc_callback-消息中心回调类路径, column_name-字段名称, b_oper_order_status-买方指令可操作状态, s_oper_order_status-卖方指令可操作状态, job_class-任务实现类, job_listener-定时任务插件监听类, commission_open_bank_name-销售佣金账户开户行, entrust_no-委托编号] 中使用过。
</t>
  </si>
  <si>
    <t>HsChar100</t>
  </si>
  <si>
    <t>字符100</t>
  </si>
  <si>
    <t>100</t>
  </si>
  <si>
    <t xml:space="preserve">HsChar100在标准字段 [project_name-项目名称, partake_org_short_name-参与机构简称, return_reason-返还原因, account_file_info-对账文件信息, audit_key-复核标识, en_sname_like-英文简称, cn_sname_like-中文简称, org_mem_en_name_like-持有人在其他机构内的英文简称, org_mem_name_like-持有人在其他机构内的中文简称, contact_name_like-联系人姓名, mem_en_short_name_like-参与者英文简称, mem_short_name_like-参与者中文简称, job_desc-任务描述, biz_kind_name-业务种类名称, report_name-报表名称, report_type_desc-报表类型描述, dm_table_name-DM表名, credit_holder_short_name-贷记方持有人账户简称, debit_holder_short_name-借记方持有人账户简称, task_name-作业名称, interface_name-接口名称, last_info-最后处理时间, holder_short_name_in-融入方持有人账户简称, holder_short_name_out-融出方持有人账户简称, froze_holder_short_name-原冻结持有人账户简称, brw_holder_short_name-借入方持有人账户简称, seller_cnaps_code-卖方支付系统行号, buyer_cnaps_code-买方支付系统行号, view_key-界面标识, p_subject_name-上级会计科目名称 , operating_state_name-营业状态名称, holder_en_short_name-持有人英文简称, sub_entry_en_name-子项英文名称, proc_description-过程描述, industry2-发行所属行业二次维护, opst_account_bank_name-对方开户行行号名称, netting_product_code-轧差池所含业务品种, param_remark-参数备注, formula_param_name-计费公式参数名称, fee_formula_name-计费公式名称, fee_cycle_name-计费周期名称, holder_types-持有人类别集, favorable_name-优惠项名称, payee_address-收款人地址, payer_address-付款人地址, trade_info-交易标识, reserve5-保留字段5, reserve4-保留字段4, reserve3-保留字段3, reserve2-保留字段2, reserve1-保留字段1, payee_agency_ral_name-收款人代理关系人持有人账户简称, payee_mem_name-收款人持有人账户简称, internal_account_name-内部账户名称, accounting_name-会计科目名称, function_macro_def-功能宏定义, menu_macro_def-菜单宏定义, oper_name-操作员姓名, loan_irst_pay_name-透支付息账户名, pay_way_name-支付途径名称, party_street-关系人街道, party_name2-关系人名称2, party_name1-关系人名称1, user_post-职务, user_org-所属机构, request_name-要求名称, group_name-组名称, control_name-控件名称, control_code-控件代码, executor_reason-指令执行原因, executor_org-指令执行机关, netting_pool_name-轧差池名称, audit_suggestion-复核意见, industry-所属行业, org_mem_en_name-持有人在其他机构内英文简称, org_mem_name-持有人在其他机构内中文简称, ex_org_code-其他机构代码, holder_short_name-上清所登记托管账户简称, un_corp_org-非法人机构对应的法人机构, contact_name-联系人姓名, agency_querier_name-代理查询人持有人账户简称, cron_expression-定时时间表达式, united_publisher_name-联合发行人名称, asset_pool_name-资产池名称, transaction_manager_name-交易管理机构名称, fund_depositary_name-资金保管机构名称, load_service_agency_name-贷款服务机构名称, lead_underwriter_name-主承销商, cfg_desc-参数描述, publisher_name-发行人名称, subject_name-科目名称, mem_bank_name-收款行全称, rate_name-利率名称, const_memo-备注, user_dept-所属部门, fun_desc-功能描述, step_desc-阶段描述, publish_approve_file-发行批准文件, guarantee_short_name-担保机构评级机构简称, main_agencies_sname-主体评级机构简称, prdt_rating_agencies_sname-债项评级机构简称, field_disp_name-显示名称, product_short_name-产品简称, menu_name-菜单名称, memo_cn-中文备注, email-邮箱, com_addr-公司通讯地址, reg_addr-注册地址, mem_en_short_name-英文简称, mem_short_name-中文简称, abstract-摘要, other_prdt_sname-其他机构内产品简称, external_org_name-外部机构简称, en_sname-英文简称, cn_sname-中文简称, product_name-产品简称, clear_mem_sub_type_name-清算会员子类型名称, class_url-类路径, exercise_result-行权结果, option_inform_title-选择权行权通知标题, inform_file_path-行权通知单路径, agen_deliver_holder_short_name-代理收付持有人账户简称, mod_field_disp_name-修改显示名称, notice_title-公告标题, log_class_name-日志登记执行类名, log_method_name-日志登记执行方法名, pay_holder_short_name-缴费持有人简称, prdt_rating_agencies_sname2-债项评级机构简称2, external_login_name-结算银行与保证金银行登录名, external_login_password-结算银行与保证金银行密码, pdt_benefitor-产品受益人, pdt_manager-产品管理人, center_clear_type_name-集中清算类型名称, running_date-运行时间, begin_datetime-开始日期时间, end_datetime-结束日期时间, last_run_date-上次运行时间, mem_name-参与人名称, final_field_disp_name-最终显示名称, sec_rating_org-担保人评级机构, mortgage_assets-抵押资产, mortgage_assets_org-抵押资产评估机构及价值, pledged_assets-质押资产, pledged_assets_org-质押资产评估机构及价值, applicant_name-申购方简称, bond_short_name-债券简称, last_operator_name-最近操作人名称, msg_from_name-发送机构名称, msg_title-消息标题, buyer_mem_name-买方参与人名称, bond_fir_name-回拨债券1名称, bond_sec_name-回拨债券2名称, book_manager_name-簿记管理人名称, trust_account_short_name-托管账号简称, trust_en__account_short_name-托管账号英文简称, bind_account_name-绑定账户名称, in_payway_name-调入支付途径名称, out_payway_name-调出支付途径名称, TASerial_NO-TA确认交易流水号, App_Sheet_Serial_No-申请单编号, Commission_ID-申报单编号, Original_App_Sheet_No-原申请单编号, sum_amt-资金总金额, success_sum_amt-资金成功总金额, task_pathway-作业途径, payer_mem_name-付款参与人名称, zfcc_oper_id-操作员编号, deal_count-成交数量, deal_price-成交价格, diff_date_field-识别日期字段, diff_status_field-识别状态字段, curr_status_check-当前状态检查, payerMCode-付款方参与人编号, payerMName-付款方参与人名称, payeeMName-收款方参与人名称, cwjm-从文件名, reser-备用字段, reser1-备用字段1, reser2-备用字段2, reser3-备用字段3, debit_account_name-借方账户名称, credit_account_name-贷方账户名称, audit_oper_id_str-复核人编号, reserve6-保留字段6, reserve7-保留字段7, reserve8-保留字段8, reserve9-保留字段9, reserve10-保留字段10, verification_id-校验ID, verification_prepose-校验前置] 中使用过。
</t>
  </si>
  <si>
    <t>HsAccountName</t>
  </si>
  <si>
    <t>账户名</t>
  </si>
  <si>
    <t>120</t>
  </si>
  <si>
    <t xml:space="preserve">HsAccountName在标准字段 [create_oper_name-创建人姓名, out_debit_account_name-表外借方账户名称, payee_account_name-收款账户名称, pay_account_name-付款账户名称, sub_account_name-子账号名称, commission_account_name-销售佣金账户名] 中使用过。
</t>
  </si>
  <si>
    <t>HsAddress</t>
  </si>
  <si>
    <t>地址</t>
  </si>
  <si>
    <t xml:space="preserve">HsAddress在标准字段 [contact_address-联系人通讯地址] 中使用过。
</t>
  </si>
  <si>
    <t>HsChar120</t>
  </si>
  <si>
    <t>字符120</t>
  </si>
  <si>
    <t xml:space="preserve">HsChar120在标准字段 [partake_org_name-参与机构全称, biz_refuse_info-业务拒绝信息, file_title-文件标题, mem_bank_code-收款行账号, sw_account-swift账号, account_name-户名, from_account_name-源保证金账户名称, to_account_name-目的保证金账户名称, user_name_text-客户名称, card_name-账户名称, trans_no-交易流水, receicard_name-收款银行账户名, paycard_name-付款银行账户名, pay_channel_name-支付渠道名称, recei_bank_name-收款行行名, paymentbank_name-付款行行名, code_type-代码类型] 中使用过。
</t>
  </si>
  <si>
    <t>HsChar128</t>
  </si>
  <si>
    <t>字符128</t>
  </si>
  <si>
    <t>128</t>
  </si>
  <si>
    <t xml:space="preserve">HsChar128在标准字段 [calc_mode_name-计算模式名称, class_name-计算类, affect_prdt_net_type-影响的产品轧差类型, special_name-特殊事件名称, product_net_typelist-产品轧差类型列表] 中使用过。
</t>
  </si>
  <si>
    <t>HsChar200</t>
  </si>
  <si>
    <t>字符200</t>
  </si>
  <si>
    <t>200</t>
  </si>
  <si>
    <t xml:space="preserve">HsChar200在标准字段 [mid_bank-中间行信息, order_bank-指示行信息, notice_name_like-通知书名称, audit_remark-复核备注, en_fname_like-英文全称, cn_fname_like-中文全称, org_mem_en_fullname_like-持有人在其他机构内的英文全称, org_mem_fullname_like-持有人在其他机构内的中文全称, mem_en_full_name_like-参与者英文全称, mem_full_name_like-参与者中文全称, signature_method-签名算法, jca_bank_name-JCA清算银行名称, feedback_info-反馈信息, check_result_desc-稽核结果描述, check_desc-稽核描述, holder_en_full_name-持有人英文名称, party_b_bic-对手方BIC代码, party_a_bic-发起方BIC代码, opst_account_name-对方账户名称, formula_explains-计费公式计算方法, reason-依据, abnormal_reason-异常原因, remitter-指示人（汇款人）, post_desc-岗位描述, oper_id-操作员ID, party_detail_address-关系人城市名、州名、邮政編码和国名, product_sub_catg_name-产品小类名称, operation_id-业务操作编号, product_category_name-产品大类名称, notice_url-通知书存储路径, notice_name-通知书名称, product_categorys-产品大类（多选）, org_mem_en_fullname-持有人在其他机构内英文全称, org_mem_fullname-持有人在其他机构内中文全称, ex_org_name-其他机构名称, file_name-文件名称, opst_account-对方账号, key_info-识别信息, settlement_bank_name-结算银行名称, payer_name-付款人名称, change_reason-变更原因, fun_url-链接, holder_name-持有人名称, result_desc-操作结果描述, payee_name-收款人名称, performance_guarantee-履约保障机制, guarantee_full_name-担保机构全称, underlying_debt-标的债务, underlying_entity-标的实体, calc_agency-计算机构, credited_affair_desc-信用事件描述, credited_affair_codes-信用事件代码, other_settle_method_memo-其他交易方式描述, product_full_name-产品全称, bank_account_name-账号名称, bank_name-开户行名称, mem_en_full_name-英文全称, mem_full_name-中文全称, description-描述, other_prdt_fname-其他机构内产品全称, taker_name-taker名称(发起方), en_fname-英文全称, cn_fname-中文全称, note-备注, holder_a_name-持有人账号A名称, holder_b_name-持有人账号B名称, order_bank_account-指示行账号, order_bank_account_name-指示行账号户名, middle_bank_account-中间行账号, middle_bank_account_name-中间行账号户名, data_rights-数据权限, holder_account_name-持有人名称, column_cn_name-字段中文名称, attr_define-参数值, attr_desc-参数描述, fx_mem_name-会员中文全称, fix_account_name-定期账户名称, float_account_name-活期账户名称, reg_notice_number-注册通知书文号, base_rate_confirm_rule-基准利率确定规则, coupon_rate_explain-票面利率说明, sec_describe-担保描述, law_firm-律师事务所, accounting_firm-会计师事务所, other_intermediary_org-其他中介机构, rights_product_des-含权产品描述, rights_kind-含权种类, corpus_cash_model-本息兑付方式, org_name-机构名称, comm_result-沟通情况, underwrite_type-承销资格, participants_name-参与人名称, holder_ta_name-上清所登记托管户名, bond_full_name-债券全称, lock_where_condiction-锁定条件, trust_account_name-托管账户名, legal_person-法人代表, trust_en_account-托管账号英文全称, debit_trust_account_name-借方托管名称, credit_trust_account_name-贷方托管名称, from_function_desc-发起功能描述, bank_node-开户行网点, user_id-用户在证联支付平台里的客户号, p_user_name-用户名称, diff_status_value-识别状态值, cert_serial_no-证书流水编号, method_name-方法名, thread_name-线程名, clsm-处理说明, dto_class-数据传输对象类型, settle_audit_remark-结算状态修改复核备注] 中使用过。
</t>
  </si>
  <si>
    <t>HsUrl</t>
  </si>
  <si>
    <t>网址或文件路径</t>
  </si>
  <si>
    <t xml:space="preserve">HsUrl在标准字段 [file_dir-外部FTP的目录, file_url-文件路径, update_path-文件更新相对路径, update_dir-文件更新路径, file_notice_dir-外部FTP预通知目录] 中使用过。
</t>
  </si>
  <si>
    <t>HsChar255</t>
  </si>
  <si>
    <t>字符255</t>
  </si>
  <si>
    <t>255</t>
  </si>
  <si>
    <t xml:space="preserve">HsChar255在标准字段 [busi_type_name-业务类型名称, job_name-作业名称, invoice_title_like-发票抬头, query_info-查询条件, alert_info-报警信息, str_table-配置表, str_config-字符串值, service_name-服务程序名称, party_accnt_name-关系人户名, dll_name-服务包名称, invoice_title-发票抬头, expression-公式表达式, mem_desc-会员简称, msg_prompt-消息提示, org_type_info-机构类别(多选), product_status_info-产品状态(多选), product_sub_catg_info-产品小类(多选), source_from_info-交易来源(多选), scheduler_desc-调度描述, sp_desc-过程描述, java_class_name-java类名, task_desc-任务组描述] 中使用过。
</t>
  </si>
  <si>
    <t>HsStation</t>
  </si>
  <si>
    <t>站点地址</t>
  </si>
  <si>
    <t>HsStation未在标准字段中使用</t>
  </si>
  <si>
    <t>HsChar500</t>
  </si>
  <si>
    <t>字符500</t>
  </si>
  <si>
    <t>500</t>
  </si>
  <si>
    <t xml:space="preserve">HsChar500在标准字段 [error_pathinfo_tmp-错误路径信息临时变量, error_pathinfo-错误路径信息, audit_content_like-复核内容, file_path-文件路径, cmd_name-命令名称, postscript-附言, audit_content-复核内容, expression_desc-公式描述, bill_path-单据临时路径, alert_module_type-提醒模块, adjust_cause-调整原因, reconcile_info-对账说明, p_error_info-错误提示, p_error_sysinfo-系统错误信息] 中使用过。
</t>
  </si>
  <si>
    <t>HsAbstract</t>
  </si>
  <si>
    <t xml:space="preserve">HsAbstract在标准字段 [error_sysinfo-系统错误信息, brw_status_remark-借入方备注, additional_clause-补充条款, error_en_info-英文提示信息, audit_info-复核信息, input_info-录入方信息, matched_status_remark-匹配状态修改备注, s_status_remark-卖方状态备注, b_status_remark-买方状态备注, file_status_remark-文件状态备注, trade_status_remark-交易状态备注, error_info-错误信息, original_status_remark-原始表状态备注, remark-备注, holder_status_remark-本方状态备注, rival_holder_status_remark-对手方状态备注] 中使用过。
</t>
  </si>
  <si>
    <t>HsChar1000</t>
  </si>
  <si>
    <t>字符1000</t>
  </si>
  <si>
    <t>1000</t>
  </si>
  <si>
    <t xml:space="preserve">HsChar1000在标准字段 [config_info-接口配置信息, summary-摘要, remark4-备注4, remark3-备注3, remark2-备注2, remark1-备注1, fee_id_multi-费用编号(多个,逗号分隔), favorable_memo-优惠说明, basic_info-发行基本情况, decision_course-发行方式的决策依据及过程, related_plan-簿记建档的相关安排, risk_resource-风险与对策, publisher_commit_letter-发行人承诺函, booker_commit_letter-簿记管理人承诺函, project_remark-备注, fee_account-费用账号, error_infos-错误信息, flow_node_pathway-流程节点配置途径, class_full_name-类全名, debit_postsript-借方附言, credit_postsript-贷方方附言, verification_name-校验名称, submit_type-报文类型] 中使用过。
</t>
  </si>
  <si>
    <t>HsChar2000</t>
  </si>
  <si>
    <t>字符2000</t>
  </si>
  <si>
    <t>2000</t>
  </si>
  <si>
    <t xml:space="preserve">HsChar2000在标准字段 [signature-签名, target_holder_account-目标持有人账号, store_dir-报表存储目录, exec_msg-执行返回信息, buyer_guarantees-买方保证券串, seller_guarantees-卖方保证券串, show_info-展示要素, param_str-字符串形式的参数值,用逗号分隔, revrepo_guarantees-逆回购方保证串, repo_guarantees-正回购方保证串, collaterals-质押串, database_error_info-数据库错误原因, product_categorys_desc-产品大类描述（多选）, trade_types_desc-交易品种描述, column_value-字段值, alert_message-提醒内容, publish_price_explain-发行定价说明, publish_ration_explain-发行配售说明, verification_describe-校验描述] 中使用过。
</t>
  </si>
  <si>
    <t>HsChar4000</t>
  </si>
  <si>
    <t>字符4000</t>
  </si>
  <si>
    <t>4000</t>
  </si>
  <si>
    <t xml:space="preserve">HsChar4000在标准字段 [audit_req_chix-复核请求对象, audit_scan_chix-复核浏览对象, mc_msg_content-消息业务数据, allow_holder_account-允许下载的持有人账号, datasource_exp-数据源表达式, notice_content-公告内容, log_content-日志内容, msg_content-消息内容, bjs_identify-北金所录入标记, executed_cmd-已执行cmd, request_args-请求参数, respone_args-响应参数, args_remark-参数备注, dto_serialize_value-数据传输对象序列化值] 中使用过。
</t>
  </si>
  <si>
    <t>HsChar8000</t>
  </si>
  <si>
    <t>字符8000</t>
  </si>
  <si>
    <t>8000</t>
  </si>
  <si>
    <t>HsChar8000未在标准字段中使用</t>
  </si>
  <si>
    <t>HsChar16000</t>
  </si>
  <si>
    <t>字符16000</t>
  </si>
  <si>
    <t>16000</t>
  </si>
  <si>
    <t>HsChar16000未在标准字段中使用</t>
  </si>
  <si>
    <t>HsChar50000</t>
  </si>
  <si>
    <t>字符50000</t>
  </si>
  <si>
    <t>50000</t>
  </si>
  <si>
    <t>HsChar50000未在标准字段中使用</t>
  </si>
  <si>
    <t>HsChar2000000</t>
  </si>
  <si>
    <t>字符2000000</t>
  </si>
  <si>
    <t>2000000</t>
  </si>
  <si>
    <t xml:space="preserve">HsChar2000000在标准字段 [msg_info_str-报文信息] 中使用过。
</t>
  </si>
  <si>
    <t>HsCurrencyPair</t>
  </si>
  <si>
    <t>货币对</t>
  </si>
  <si>
    <t>HsCurrencyPair未在标准字段中使用</t>
  </si>
  <si>
    <t>HsClob</t>
  </si>
  <si>
    <t>clob类型</t>
  </si>
  <si>
    <t>ClobDefault</t>
  </si>
  <si>
    <t xml:space="preserve">HsClob在标准字段 [msg_info-接口消息clob对象, sql_content-sql内容] 中使用过。
</t>
  </si>
  <si>
    <t>HsChar30</t>
  </si>
  <si>
    <t>字符30</t>
  </si>
  <si>
    <t>30</t>
  </si>
  <si>
    <t xml:space="preserve">HsChar30在标准字段 [pledge_id-质押编号, reserve-保留字段, fund_netting_amount-轧差额, message_name-业务消息名称, ref_rate_kind-参考利率品种, external_sys-外部系统, Confirmed_Amount-每笔交易确认金额, Stamp_Duty-印花税, Confirm_Balance-成交金额, participants_account-参与人账号, cert_id-证件号码, ta_account_id-投资人基金账号, Original_Serial_No-TA的原确认流水号] 中使用过。
</t>
  </si>
  <si>
    <t>HsChar35</t>
  </si>
  <si>
    <t>字符35</t>
  </si>
  <si>
    <t>35</t>
  </si>
  <si>
    <t xml:space="preserve">HsChar35在标准字段 [fund_payee_open_bank_no-收款人开户行行号, fund_payer_open_bank_no-付款人开户行行号, hvps_back_no-大额返回编号, End_end_no-端到端标识号, rcv_bank_clrbank_accnt-清算所在接收行的账号] 中使用过。
</t>
  </si>
  <si>
    <t>HsChar60</t>
  </si>
  <si>
    <t>字符60</t>
  </si>
  <si>
    <t>60</t>
  </si>
  <si>
    <t xml:space="preserve">HsChar60在标准字段 [fund_payee_name-收款人名称, fund_payer_name-付款人名称, mem_account_name-客户户名, cfg_code-参数代码, fund_comments-附言, fund_add_content-补充内容, system_account_name-本系统对应账户名称, opst_system_account_name-对方系统账户名称, map_type_name-映射关系种类名称, bank_login_name-结算银行登录名称, bank_login_out_name-结算银行登出名称, recei_bank_no-收款行大额行号, paymentbank_no-付款行大额行号] 中使用过。
</t>
  </si>
  <si>
    <t>HsChar70</t>
  </si>
  <si>
    <t>字符70</t>
  </si>
  <si>
    <t>70</t>
  </si>
  <si>
    <t xml:space="preserve">HsChar70在标准字段 [fund_payee_address-收款人地址, fund_payer_address-付款人地址] 中使用过。
</t>
  </si>
  <si>
    <t>HsChar75</t>
  </si>
  <si>
    <t>字符75</t>
  </si>
  <si>
    <t>75</t>
  </si>
  <si>
    <t xml:space="preserve">HsChar75在标准字段 [fund_remark2-备注2, fund_postscript2-附言2] 中使用过。
</t>
  </si>
  <si>
    <t>HsChar105</t>
  </si>
  <si>
    <t>字符105</t>
  </si>
  <si>
    <t>105</t>
  </si>
  <si>
    <t>HsChar105未在标准字段中使用</t>
  </si>
  <si>
    <t>HsChar135</t>
  </si>
  <si>
    <t>字符135</t>
  </si>
  <si>
    <t>135</t>
  </si>
  <si>
    <t xml:space="preserve">HsChar135在标准字段 [fund_remark-备注, fund_postscript-附言] 中使用过。
</t>
  </si>
  <si>
    <t>HsTimeStamp</t>
  </si>
  <si>
    <t>TimeStampDefault</t>
  </si>
  <si>
    <t xml:space="preserve">HsTimeStamp在标准字段 [input_timestamp-录入时间戳, update_timestamp-更新时间戳] 中使用过。
</t>
  </si>
  <si>
    <t>HsNChar8</t>
  </si>
  <si>
    <t>字符8（nvarchar2）</t>
  </si>
  <si>
    <t>支持特殊字符显示</t>
  </si>
  <si>
    <t xml:space="preserve">HsNChar8在标准字段 [ccy_sign-币种符号] 中使用过。
</t>
  </si>
  <si>
    <t>HsBlob</t>
  </si>
  <si>
    <t>blob类型</t>
  </si>
  <si>
    <t>BlobDefault</t>
  </si>
  <si>
    <t>支持大数据对象存储</t>
  </si>
  <si>
    <t xml:space="preserve">HsBlob在标准字段 [receipt_data_content-单据元数据内容] 中使用过。
</t>
  </si>
  <si>
    <t>HsMidRate</t>
  </si>
  <si>
    <t>中精度费率</t>
  </si>
  <si>
    <t>27</t>
  </si>
  <si>
    <t xml:space="preserve">HsMidRate在标准字段 [param_amount-参数额度, irst_amount-利息金额, net_rate-费率, favor_rate-优惠比例, separate_rate-拆分比例, single_favor_rate-单笔优惠比例, fix_irst_amount-定期利息金额, float_irst_amount-活期利息金额] 中使用过。
</t>
  </si>
  <si>
    <t>HsNum20</t>
  </si>
  <si>
    <t>HsNum20未在标准字段中使用</t>
  </si>
  <si>
    <t>HsNum18</t>
  </si>
  <si>
    <t xml:space="preserve">HsNum18在标准字段 [serial_no-流水编号, sql_time-日志时间戳] 中使用过。
</t>
  </si>
  <si>
    <t>Hsnum16</t>
  </si>
  <si>
    <t>HsChar22</t>
  </si>
  <si>
    <t>字符22</t>
  </si>
  <si>
    <t>HsDateTime</t>
  </si>
  <si>
    <t>datetimeDefaultValue</t>
  </si>
  <si>
    <t>HsDateTime在标准字段 [gmt_create-创建时间, gmt_modify-修改时间, create_datetime-创建时间, update_datetime-更新时间, last_login_time-最后登录时间, created_time-创建时间, updated_time-修改时间] 中使用过。</t>
  </si>
</sst>
</file>

<file path=xl/styles.xml><?xml version="1.0" encoding="utf-8"?>
<styleSheet xmlns="http://schemas.openxmlformats.org/spreadsheetml/2006/main">
  <numFmts count="4">
    <numFmt numFmtId="176" formatCode="_(* #,##0_);_(* \(#,##0\);_(* &quot;-&quot;_);_(@_)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24">
    <font>
      <sz val="10"/>
      <name val="Arial"/>
      <charset val="0"/>
    </font>
    <font>
      <b/>
      <sz val="10"/>
      <name val="宋体"/>
      <charset val="134"/>
    </font>
    <font>
      <sz val="10"/>
      <color indexed="12"/>
      <name val="Arial"/>
      <charset val="0"/>
    </font>
    <font>
      <sz val="10"/>
      <name val="宋体"/>
      <charset val="0"/>
    </font>
    <font>
      <sz val="10"/>
      <color rgb="FF800080"/>
      <name val="Arial"/>
      <charset val="0"/>
    </font>
    <font>
      <sz val="11"/>
      <color rgb="FFFF0000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9C65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177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5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4" borderId="1" xfId="0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3" fillId="0" borderId="0" xfId="0" applyFont="1"/>
    <xf numFmtId="0" fontId="4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FFFF"/>
      <color rgb="000000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6"/>
  <sheetViews>
    <sheetView tabSelected="1" workbookViewId="0">
      <selection activeCell="F26" sqref="F26"/>
    </sheetView>
  </sheetViews>
  <sheetFormatPr defaultColWidth="8.88888888888889" defaultRowHeight="13.2" outlineLevelCol="7"/>
  <cols>
    <col min="1" max="1" width="2" customWidth="1"/>
    <col min="2" max="2" width="23.4259259259259" customWidth="1"/>
    <col min="3" max="3" width="31.287037037037" customWidth="1"/>
    <col min="4" max="5" width="23.4259259259259" customWidth="1"/>
    <col min="6" max="6" width="31.287037037037" customWidth="1"/>
    <col min="7" max="7" width="11.712962962963" customWidth="1"/>
    <col min="8" max="8" width="39" customWidth="1"/>
  </cols>
  <sheetData>
    <row r="2" ht="12.75" customHeight="1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ht="12.75" customHeight="1" spans="2:8">
      <c r="B3" t="s">
        <v>7</v>
      </c>
      <c r="C3" t="s">
        <v>8</v>
      </c>
      <c r="D3" t="s">
        <v>9</v>
      </c>
      <c r="E3" s="4" t="str">
        <f>HYPERLINK("#'国金'!A1","gjs_branch")</f>
        <v>gjs_branch</v>
      </c>
      <c r="F3" t="s">
        <v>10</v>
      </c>
      <c r="G3" t="s">
        <v>11</v>
      </c>
      <c r="H3" t="s">
        <v>9</v>
      </c>
    </row>
    <row r="4" ht="12.75" customHeight="1" spans="4:8">
      <c r="D4" t="s">
        <v>9</v>
      </c>
      <c r="E4" s="4" t="str">
        <f>HYPERLINK("#'国金'!A25","gjs_interest_calculation")</f>
        <v>gjs_interest_calculation</v>
      </c>
      <c r="F4" t="s">
        <v>12</v>
      </c>
      <c r="G4" t="s">
        <v>11</v>
      </c>
      <c r="H4" s="7" t="s">
        <v>13</v>
      </c>
    </row>
    <row r="5" ht="12.75" customHeight="1" spans="4:8">
      <c r="D5" t="s">
        <v>9</v>
      </c>
      <c r="E5" s="4" t="str">
        <f>HYPERLINK("#'国金'!A56","gjs_area")</f>
        <v>gjs_area</v>
      </c>
      <c r="F5" t="s">
        <v>14</v>
      </c>
      <c r="G5" t="s">
        <v>11</v>
      </c>
      <c r="H5" s="7" t="s">
        <v>15</v>
      </c>
    </row>
    <row r="6" ht="12.75" customHeight="1" spans="4:8">
      <c r="D6" t="s">
        <v>9</v>
      </c>
      <c r="E6" s="4" t="str">
        <f>HYPERLINK("#'国金'!A79","gjs_fruits_business")</f>
        <v>gjs_fruits_business</v>
      </c>
      <c r="F6" t="s">
        <v>16</v>
      </c>
      <c r="G6" t="s">
        <v>11</v>
      </c>
      <c r="H6" s="7" t="s">
        <v>13</v>
      </c>
    </row>
    <row r="7" ht="12.75" customHeight="1" spans="4:8">
      <c r="D7" t="s">
        <v>9</v>
      </c>
      <c r="E7" s="4" t="str">
        <f>HYPERLINK("#'国金'!A108","gjs_account_statement_file")</f>
        <v>gjs_account_statement_file</v>
      </c>
      <c r="F7" t="s">
        <v>17</v>
      </c>
      <c r="G7" t="s">
        <v>11</v>
      </c>
      <c r="H7" t="s">
        <v>9</v>
      </c>
    </row>
    <row r="8" ht="12.75" customHeight="1" spans="4:8">
      <c r="D8" t="s">
        <v>9</v>
      </c>
      <c r="E8" s="4" t="str">
        <f>HYPERLINK("#'国金'!A134","gjs_city_bank_relation")</f>
        <v>gjs_city_bank_relation</v>
      </c>
      <c r="F8" t="s">
        <v>18</v>
      </c>
      <c r="G8" t="s">
        <v>11</v>
      </c>
      <c r="H8" t="s">
        <v>9</v>
      </c>
    </row>
    <row r="9" ht="12.75" customHeight="1" spans="4:8">
      <c r="D9" t="s">
        <v>9</v>
      </c>
      <c r="E9" s="4" t="str">
        <f>HYPERLINK("#'国金'!A157","gjs_city")</f>
        <v>gjs_city</v>
      </c>
      <c r="F9" t="s">
        <v>19</v>
      </c>
      <c r="G9" t="s">
        <v>11</v>
      </c>
      <c r="H9" t="s">
        <v>9</v>
      </c>
    </row>
    <row r="10" ht="12.75" customHeight="1" spans="4:8">
      <c r="D10" t="s">
        <v>9</v>
      </c>
      <c r="E10" s="4" t="str">
        <f>HYPERLINK("#'国金'!A180","gjs_open_account_apply")</f>
        <v>gjs_open_account_apply</v>
      </c>
      <c r="F10" t="s">
        <v>20</v>
      </c>
      <c r="G10" t="s">
        <v>11</v>
      </c>
      <c r="H10" s="7" t="s">
        <v>13</v>
      </c>
    </row>
    <row r="11" ht="12.75" customHeight="1" spans="4:8">
      <c r="D11" t="s">
        <v>9</v>
      </c>
      <c r="E11" s="4" t="str">
        <f>HYPERLINK("#'国金'!A215","gjs_relation_repatriation")</f>
        <v>gjs_relation_repatriation</v>
      </c>
      <c r="F11" t="s">
        <v>21</v>
      </c>
      <c r="G11" t="s">
        <v>11</v>
      </c>
      <c r="H11" t="s">
        <v>9</v>
      </c>
    </row>
    <row r="12" ht="12.75" customHeight="1" spans="4:8">
      <c r="D12" t="s">
        <v>9</v>
      </c>
      <c r="E12" s="4" t="str">
        <f>HYPERLINK("#'国金'!A242","gjs_user_auth")</f>
        <v>gjs_user_auth</v>
      </c>
      <c r="F12" t="s">
        <v>22</v>
      </c>
      <c r="G12" t="s">
        <v>11</v>
      </c>
      <c r="H12" t="s">
        <v>9</v>
      </c>
    </row>
    <row r="13" ht="12.75" customHeight="1" spans="4:8">
      <c r="D13" t="s">
        <v>9</v>
      </c>
      <c r="E13" s="8" t="str">
        <f>HYPERLINK("#'国金'!A265","gjs_user_info")</f>
        <v>gjs_user_info</v>
      </c>
      <c r="F13" t="s">
        <v>23</v>
      </c>
      <c r="G13" t="s">
        <v>11</v>
      </c>
      <c r="H13" t="s">
        <v>9</v>
      </c>
    </row>
    <row r="14" ht="12.75" customHeight="1" spans="4:8">
      <c r="D14" t="s">
        <v>9</v>
      </c>
      <c r="E14" s="4" t="str">
        <f>HYPERLINK("#'国金'!A299","gjs_province")</f>
        <v>gjs_province</v>
      </c>
      <c r="F14" t="s">
        <v>24</v>
      </c>
      <c r="G14" t="s">
        <v>11</v>
      </c>
      <c r="H14" t="s">
        <v>9</v>
      </c>
    </row>
    <row r="15" ht="12.75" customHeight="1" spans="4:8">
      <c r="D15" t="s">
        <v>9</v>
      </c>
      <c r="E15" s="4" t="str">
        <f>HYPERLINK("#'国金'!A321","gjs_auth_sys")</f>
        <v>gjs_auth_sys</v>
      </c>
      <c r="F15" t="s">
        <v>25</v>
      </c>
      <c r="G15" t="s">
        <v>11</v>
      </c>
      <c r="H15" t="s">
        <v>9</v>
      </c>
    </row>
    <row r="16" ht="12.75" customHeight="1" spans="4:8">
      <c r="D16" t="s">
        <v>9</v>
      </c>
      <c r="E16" s="4" t="str">
        <f>HYPERLINK("#'国金'!A344","gjs_auth_info")</f>
        <v>gjs_auth_info</v>
      </c>
      <c r="F16" t="s">
        <v>26</v>
      </c>
      <c r="G16" t="s">
        <v>11</v>
      </c>
      <c r="H16" t="s">
        <v>9</v>
      </c>
    </row>
    <row r="17" ht="12.75" customHeight="1" spans="4:8">
      <c r="D17" t="s">
        <v>9</v>
      </c>
      <c r="E17" s="8" t="str">
        <f>HYPERLINK("#'国金'!A375","gjs_accounting_check")</f>
        <v>gjs_accounting_check</v>
      </c>
      <c r="F17" t="s">
        <v>27</v>
      </c>
      <c r="G17" t="s">
        <v>11</v>
      </c>
      <c r="H17" t="s">
        <v>9</v>
      </c>
    </row>
    <row r="18" ht="12.75" customHeight="1" spans="4:8">
      <c r="D18" t="s">
        <v>9</v>
      </c>
      <c r="E18" s="8" t="str">
        <f>HYPERLINK("#'国金'!A404","gjs_account_info")</f>
        <v>gjs_account_info</v>
      </c>
      <c r="F18" t="s">
        <v>28</v>
      </c>
      <c r="G18" t="s">
        <v>11</v>
      </c>
      <c r="H18" t="s">
        <v>9</v>
      </c>
    </row>
    <row r="19" ht="12.75" customHeight="1" spans="4:8">
      <c r="D19" t="s">
        <v>9</v>
      </c>
      <c r="E19" s="8" t="str">
        <f>HYPERLINK("#'国金'!A438","gjs_remittance_of_funds")</f>
        <v>gjs_remittance_of_funds</v>
      </c>
      <c r="F19" t="s">
        <v>29</v>
      </c>
      <c r="G19" t="s">
        <v>11</v>
      </c>
      <c r="H19" t="s">
        <v>9</v>
      </c>
    </row>
    <row r="20" ht="12.75" customHeight="1" spans="4:8">
      <c r="D20" t="s">
        <v>9</v>
      </c>
      <c r="E20" s="4" t="str">
        <f>HYPERLINK("#'国金'!A484","gjs_fund_of_remittance")</f>
        <v>gjs_fund_of_remittance</v>
      </c>
      <c r="F20" t="s">
        <v>30</v>
      </c>
      <c r="G20" t="s">
        <v>11</v>
      </c>
      <c r="H20" t="s">
        <v>9</v>
      </c>
    </row>
    <row r="21" ht="12.75" customHeight="1" spans="4:8">
      <c r="D21" t="s">
        <v>9</v>
      </c>
      <c r="E21" s="8" t="str">
        <f>HYPERLINK("#'国金'!A527","gjs_repatriation_of_funds")</f>
        <v>gjs_repatriation_of_funds</v>
      </c>
      <c r="F21" t="s">
        <v>31</v>
      </c>
      <c r="G21" t="s">
        <v>11</v>
      </c>
      <c r="H21" t="s">
        <v>9</v>
      </c>
    </row>
    <row r="22" ht="12.75" customHeight="1" spans="4:8">
      <c r="D22" t="s">
        <v>9</v>
      </c>
      <c r="E22" s="8" t="str">
        <f>HYPERLINK("#'国金'!A577","gjs_statement_of_funds")</f>
        <v>gjs_statement_of_funds</v>
      </c>
      <c r="F22" t="s">
        <v>32</v>
      </c>
      <c r="G22" t="s">
        <v>11</v>
      </c>
      <c r="H22" t="s">
        <v>9</v>
      </c>
    </row>
    <row r="23" ht="12.75" customHeight="1" spans="4:8">
      <c r="D23" t="s">
        <v>9</v>
      </c>
      <c r="E23" s="4" t="str">
        <f>HYPERLINK("#'国金'!A617","gjs_pipeline_of_planning")</f>
        <v>gjs_pipeline_of_planning</v>
      </c>
      <c r="F23" t="s">
        <v>33</v>
      </c>
      <c r="G23" t="s">
        <v>11</v>
      </c>
      <c r="H23" t="s">
        <v>9</v>
      </c>
    </row>
    <row r="24" ht="12.75" customHeight="1" spans="4:8">
      <c r="D24" t="s">
        <v>9</v>
      </c>
      <c r="E24" s="4" t="str">
        <f>HYPERLINK("#'国金'!A651","gjs_bank")</f>
        <v>gjs_bank</v>
      </c>
      <c r="F24" t="s">
        <v>34</v>
      </c>
      <c r="G24" t="s">
        <v>11</v>
      </c>
      <c r="H24" t="s">
        <v>9</v>
      </c>
    </row>
    <row r="25" ht="12.75" customHeight="1" spans="4:8">
      <c r="D25" t="s">
        <v>9</v>
      </c>
      <c r="E25" s="4" t="str">
        <f>HYPERLINK("#'国金'!A673","gjs_close_account_apply")</f>
        <v>gjs_close_account_apply</v>
      </c>
      <c r="F25" t="s">
        <v>35</v>
      </c>
      <c r="G25" t="s">
        <v>11</v>
      </c>
      <c r="H25" s="7" t="s">
        <v>13</v>
      </c>
    </row>
    <row r="26" ht="12.75" customHeight="1" spans="4:8">
      <c r="D26" t="s">
        <v>9</v>
      </c>
      <c r="E26" s="4" t="str">
        <f>HYPERLINK("#'国金'!A704","gjs_project_info")</f>
        <v>gjs_project_info</v>
      </c>
      <c r="F26" t="s">
        <v>36</v>
      </c>
      <c r="G26" t="s">
        <v>11</v>
      </c>
      <c r="H26" t="s">
        <v>9</v>
      </c>
    </row>
  </sheetData>
  <mergeCells count="2">
    <mergeCell ref="B3:B26"/>
    <mergeCell ref="C3:C26"/>
  </mergeCells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733"/>
  <sheetViews>
    <sheetView topLeftCell="A539" workbookViewId="0">
      <selection activeCell="G570" sqref="G570"/>
    </sheetView>
  </sheetViews>
  <sheetFormatPr defaultColWidth="8.88888888888889" defaultRowHeight="13.2" outlineLevelCol="7"/>
  <cols>
    <col min="1" max="1" width="2" style="1" customWidth="1"/>
    <col min="2" max="2" width="11.712962962963" style="1" customWidth="1"/>
    <col min="3" max="5" width="23.4259259259259" style="1" customWidth="1"/>
    <col min="6" max="6" width="15.5740740740741" style="1" customWidth="1"/>
    <col min="7" max="7" width="31.287037037037" style="1" customWidth="1"/>
    <col min="8" max="15" width="8.85185185185185" style="1" customWidth="1"/>
  </cols>
  <sheetData>
    <row r="2" ht="12.75" customHeight="1" spans="2:7">
      <c r="B2" s="5" t="s">
        <v>2</v>
      </c>
      <c r="C2" s="3" t="s">
        <v>9</v>
      </c>
      <c r="D2" s="3" t="s">
        <v>9</v>
      </c>
      <c r="E2" s="3" t="s">
        <v>9</v>
      </c>
      <c r="F2" s="5" t="s">
        <v>37</v>
      </c>
      <c r="G2" s="3" t="s">
        <v>9</v>
      </c>
    </row>
    <row r="3" ht="12.75" customHeight="1" spans="2:7">
      <c r="B3" s="5" t="s">
        <v>38</v>
      </c>
      <c r="C3" s="3" t="s">
        <v>39</v>
      </c>
      <c r="D3" s="5" t="s">
        <v>40</v>
      </c>
      <c r="E3" s="3" t="s">
        <v>41</v>
      </c>
      <c r="F3" s="5" t="s">
        <v>42</v>
      </c>
      <c r="G3" s="3" t="s">
        <v>9</v>
      </c>
    </row>
    <row r="4" ht="12.75" customHeight="1" spans="2:7">
      <c r="B4" s="5" t="s">
        <v>43</v>
      </c>
      <c r="C4" s="3" t="s">
        <v>10</v>
      </c>
      <c r="D4" s="5" t="s">
        <v>44</v>
      </c>
      <c r="E4" s="3" t="s">
        <v>45</v>
      </c>
      <c r="F4" s="5" t="s">
        <v>9</v>
      </c>
      <c r="G4" s="3" t="s">
        <v>9</v>
      </c>
    </row>
    <row r="5" ht="12.75" customHeight="1" spans="2:7">
      <c r="B5" s="5" t="s">
        <v>46</v>
      </c>
      <c r="C5" s="3" t="s">
        <v>9</v>
      </c>
      <c r="D5" s="5" t="s">
        <v>47</v>
      </c>
      <c r="E5" s="3" t="s">
        <v>9</v>
      </c>
      <c r="F5" s="5" t="s">
        <v>48</v>
      </c>
      <c r="G5" s="3" t="s">
        <v>9</v>
      </c>
    </row>
    <row r="6" ht="12.75" customHeight="1" spans="2:7">
      <c r="B6" s="5" t="s">
        <v>49</v>
      </c>
      <c r="C6" s="3" t="s">
        <v>45</v>
      </c>
      <c r="D6" s="5" t="s">
        <v>50</v>
      </c>
      <c r="E6" s="3" t="s">
        <v>45</v>
      </c>
      <c r="F6" s="5" t="s">
        <v>51</v>
      </c>
      <c r="G6" s="3" t="s">
        <v>45</v>
      </c>
    </row>
    <row r="7" ht="12.75" customHeight="1" spans="2:7">
      <c r="B7" s="5" t="s">
        <v>52</v>
      </c>
      <c r="C7" s="3" t="s">
        <v>9</v>
      </c>
      <c r="D7" s="5" t="s">
        <v>53</v>
      </c>
      <c r="E7" s="3" t="s">
        <v>9</v>
      </c>
      <c r="F7" s="5" t="s">
        <v>54</v>
      </c>
      <c r="G7" s="3" t="s">
        <v>9</v>
      </c>
    </row>
    <row r="8" ht="12.75" customHeight="1" spans="2:7">
      <c r="B8" s="5" t="s">
        <v>55</v>
      </c>
      <c r="C8" s="3" t="s">
        <v>9</v>
      </c>
      <c r="D8" s="5" t="s">
        <v>56</v>
      </c>
      <c r="E8" s="3" t="s">
        <v>9</v>
      </c>
      <c r="F8" s="5" t="s">
        <v>57</v>
      </c>
      <c r="G8" s="3" t="s">
        <v>9</v>
      </c>
    </row>
    <row r="9" ht="12.75" customHeight="1" spans="2:7">
      <c r="B9" s="5" t="s">
        <v>58</v>
      </c>
      <c r="C9" s="3" t="s">
        <v>9</v>
      </c>
      <c r="D9" s="5" t="s">
        <v>59</v>
      </c>
      <c r="E9" s="3" t="s">
        <v>9</v>
      </c>
      <c r="F9" s="5" t="s">
        <v>9</v>
      </c>
      <c r="G9" s="3" t="s">
        <v>9</v>
      </c>
    </row>
    <row r="10" ht="12.75" customHeight="1" spans="2:7">
      <c r="B10" s="5" t="s">
        <v>6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</row>
    <row r="11" ht="12.75" customHeight="1" spans="2:7">
      <c r="B11" s="5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</row>
    <row r="12" ht="12.75" customHeight="1" spans="2:8">
      <c r="B12" s="5" t="s">
        <v>60</v>
      </c>
      <c r="C12" s="5" t="s">
        <v>61</v>
      </c>
      <c r="D12" s="5" t="s">
        <v>43</v>
      </c>
      <c r="E12" s="5" t="s">
        <v>62</v>
      </c>
      <c r="F12" s="5" t="s">
        <v>63</v>
      </c>
      <c r="G12" s="5" t="s">
        <v>64</v>
      </c>
      <c r="H12" s="5" t="s">
        <v>65</v>
      </c>
    </row>
    <row r="13" ht="12.75" customHeight="1" spans="2:8">
      <c r="B13" s="5" t="s">
        <v>9</v>
      </c>
      <c r="C13" s="3" t="s">
        <v>66</v>
      </c>
      <c r="D13" s="3" t="s">
        <v>67</v>
      </c>
      <c r="E13" s="4" t="str">
        <f>HYPERLINK("#'业务数据类型'!A66","HsChar32")</f>
        <v>HsChar32</v>
      </c>
      <c r="F13" s="3" t="s">
        <v>45</v>
      </c>
      <c r="G13" s="6" t="s">
        <v>9</v>
      </c>
      <c r="H13" s="3" t="s">
        <v>9</v>
      </c>
    </row>
    <row r="14" ht="12.75" customHeight="1" spans="2:8">
      <c r="B14" s="5" t="s">
        <v>9</v>
      </c>
      <c r="C14" s="3" t="s">
        <v>68</v>
      </c>
      <c r="D14" s="3" t="s">
        <v>69</v>
      </c>
      <c r="E14" s="4" t="str">
        <f>HYPERLINK("#'业务数据类型'!A68","HsChar50")</f>
        <v>HsChar50</v>
      </c>
      <c r="F14" s="3" t="s">
        <v>70</v>
      </c>
      <c r="G14" s="6" t="s">
        <v>9</v>
      </c>
      <c r="H14" s="3" t="s">
        <v>9</v>
      </c>
    </row>
    <row r="15" ht="12.75" customHeight="1" spans="2:8">
      <c r="B15" s="5" t="s">
        <v>9</v>
      </c>
      <c r="C15" s="3" t="s">
        <v>71</v>
      </c>
      <c r="D15" s="3" t="s">
        <v>72</v>
      </c>
      <c r="E15" s="4" t="str">
        <f>HYPERLINK("#'业务数据类型'!A81","HsChar500")</f>
        <v>HsChar500</v>
      </c>
      <c r="F15" s="3" t="s">
        <v>70</v>
      </c>
      <c r="G15" s="6" t="s">
        <v>9</v>
      </c>
      <c r="H15" s="3" t="s">
        <v>9</v>
      </c>
    </row>
    <row r="16" ht="12.75" customHeight="1" spans="2:8">
      <c r="B16" s="5" t="s">
        <v>9</v>
      </c>
      <c r="C16" s="3" t="s">
        <v>73</v>
      </c>
      <c r="D16" s="3" t="s">
        <v>74</v>
      </c>
      <c r="E16" s="4" t="str">
        <f>HYPERLINK("#'业务数据类型'!A40","HsChar10")</f>
        <v>HsChar10</v>
      </c>
      <c r="F16" s="3" t="s">
        <v>70</v>
      </c>
      <c r="G16" s="6" t="s">
        <v>9</v>
      </c>
      <c r="H16" s="3" t="s">
        <v>9</v>
      </c>
    </row>
    <row r="17" ht="12.75" customHeight="1" spans="2:8">
      <c r="B17" s="5" t="s">
        <v>9</v>
      </c>
      <c r="C17" s="3" t="s">
        <v>75</v>
      </c>
      <c r="D17" s="3" t="s">
        <v>76</v>
      </c>
      <c r="E17" s="4" t="str">
        <f>HYPERLINK("#'业务数据类型'!A68","HsChar50")</f>
        <v>HsChar50</v>
      </c>
      <c r="F17" s="3" t="s">
        <v>70</v>
      </c>
      <c r="G17" s="6" t="s">
        <v>9</v>
      </c>
      <c r="H17" s="3" t="s">
        <v>9</v>
      </c>
    </row>
    <row r="18" ht="12.75" customHeight="1" spans="2:8">
      <c r="B18" s="5" t="s">
        <v>9</v>
      </c>
      <c r="C18" s="3" t="s">
        <v>77</v>
      </c>
      <c r="D18" s="3" t="s">
        <v>78</v>
      </c>
      <c r="E18" s="4" t="str">
        <f>HYPERLINK("#'业务数据类型'!A68","HsChar50")</f>
        <v>HsChar50</v>
      </c>
      <c r="F18" s="3" t="s">
        <v>70</v>
      </c>
      <c r="G18" s="6" t="s">
        <v>9</v>
      </c>
      <c r="H18" s="3" t="s">
        <v>9</v>
      </c>
    </row>
    <row r="19" ht="12.75" customHeight="1" spans="2:8">
      <c r="B19" s="5" t="s">
        <v>9</v>
      </c>
      <c r="C19" s="3" t="s">
        <v>79</v>
      </c>
      <c r="D19" s="3" t="s">
        <v>80</v>
      </c>
      <c r="E19" s="4" t="str">
        <f>HYPERLINK("#'业务数据类型'!A68","HsChar50")</f>
        <v>HsChar50</v>
      </c>
      <c r="F19" s="3" t="s">
        <v>70</v>
      </c>
      <c r="G19" s="6" t="s">
        <v>9</v>
      </c>
      <c r="H19" s="3" t="s">
        <v>9</v>
      </c>
    </row>
    <row r="20" ht="12.75" customHeight="1" spans="2:7">
      <c r="B20" s="5" t="s">
        <v>81</v>
      </c>
      <c r="C20" s="5" t="s">
        <v>82</v>
      </c>
      <c r="D20" s="5" t="s">
        <v>83</v>
      </c>
      <c r="E20" s="5" t="s">
        <v>84</v>
      </c>
      <c r="F20" s="5" t="s">
        <v>85</v>
      </c>
      <c r="G20" s="5" t="s">
        <v>86</v>
      </c>
    </row>
    <row r="21" ht="12.75" customHeight="1" spans="2:7">
      <c r="B21" s="5" t="s">
        <v>87</v>
      </c>
      <c r="C21" s="5" t="s">
        <v>88</v>
      </c>
      <c r="D21" s="5" t="s">
        <v>5</v>
      </c>
      <c r="E21" s="5" t="s">
        <v>89</v>
      </c>
      <c r="F21" s="5" t="s">
        <v>90</v>
      </c>
      <c r="G21" s="5" t="s">
        <v>91</v>
      </c>
    </row>
    <row r="22" ht="12.75" customHeight="1" spans="2:7">
      <c r="B22" s="5" t="s">
        <v>9</v>
      </c>
      <c r="C22" s="3" t="s">
        <v>92</v>
      </c>
      <c r="D22" s="3" t="s">
        <v>93</v>
      </c>
      <c r="E22" s="3" t="s">
        <v>66</v>
      </c>
      <c r="F22" s="3" t="s">
        <v>9</v>
      </c>
      <c r="G22" s="3" t="s">
        <v>9</v>
      </c>
    </row>
    <row r="23" ht="12.75" customHeight="1" spans="2:7">
      <c r="B23" s="5" t="s">
        <v>94</v>
      </c>
      <c r="C23" s="6" t="s">
        <v>9</v>
      </c>
      <c r="D23" s="6" t="s">
        <v>9</v>
      </c>
      <c r="E23" s="6" t="s">
        <v>9</v>
      </c>
      <c r="F23" s="6" t="s">
        <v>9</v>
      </c>
      <c r="G23" s="6" t="s">
        <v>9</v>
      </c>
    </row>
    <row r="26" ht="12.75" customHeight="1" spans="2:7">
      <c r="B26" s="5" t="s">
        <v>2</v>
      </c>
      <c r="C26" s="3" t="s">
        <v>9</v>
      </c>
      <c r="D26" s="3" t="s">
        <v>9</v>
      </c>
      <c r="E26" s="3" t="s">
        <v>9</v>
      </c>
      <c r="F26" s="5" t="s">
        <v>37</v>
      </c>
      <c r="G26" s="3" t="s">
        <v>9</v>
      </c>
    </row>
    <row r="27" ht="12.75" customHeight="1" spans="2:7">
      <c r="B27" s="5" t="s">
        <v>38</v>
      </c>
      <c r="C27" s="3" t="s">
        <v>95</v>
      </c>
      <c r="D27" s="5" t="s">
        <v>40</v>
      </c>
      <c r="E27" s="3" t="s">
        <v>41</v>
      </c>
      <c r="F27" s="5" t="s">
        <v>42</v>
      </c>
      <c r="G27" s="3" t="s">
        <v>9</v>
      </c>
    </row>
    <row r="28" ht="12.75" customHeight="1" spans="2:7">
      <c r="B28" s="5" t="s">
        <v>43</v>
      </c>
      <c r="C28" s="3" t="s">
        <v>12</v>
      </c>
      <c r="D28" s="5" t="s">
        <v>44</v>
      </c>
      <c r="E28" s="3" t="s">
        <v>45</v>
      </c>
      <c r="F28" s="5" t="s">
        <v>9</v>
      </c>
      <c r="G28" s="3" t="s">
        <v>9</v>
      </c>
    </row>
    <row r="29" ht="12.75" customHeight="1" spans="2:7">
      <c r="B29" s="5" t="s">
        <v>46</v>
      </c>
      <c r="C29" s="3" t="s">
        <v>9</v>
      </c>
      <c r="D29" s="5" t="s">
        <v>47</v>
      </c>
      <c r="E29" s="3" t="s">
        <v>9</v>
      </c>
      <c r="F29" s="5" t="s">
        <v>48</v>
      </c>
      <c r="G29" s="3" t="s">
        <v>9</v>
      </c>
    </row>
    <row r="30" ht="12.75" customHeight="1" spans="2:7">
      <c r="B30" s="5" t="s">
        <v>49</v>
      </c>
      <c r="C30" s="3" t="s">
        <v>45</v>
      </c>
      <c r="D30" s="5" t="s">
        <v>50</v>
      </c>
      <c r="E30" s="3" t="s">
        <v>45</v>
      </c>
      <c r="F30" s="5" t="s">
        <v>51</v>
      </c>
      <c r="G30" s="3" t="s">
        <v>45</v>
      </c>
    </row>
    <row r="31" ht="12.75" customHeight="1" spans="2:7">
      <c r="B31" s="5" t="s">
        <v>52</v>
      </c>
      <c r="C31" s="3" t="s">
        <v>9</v>
      </c>
      <c r="D31" s="5" t="s">
        <v>53</v>
      </c>
      <c r="E31" s="3" t="s">
        <v>9</v>
      </c>
      <c r="F31" s="5" t="s">
        <v>54</v>
      </c>
      <c r="G31" s="3" t="s">
        <v>9</v>
      </c>
    </row>
    <row r="32" ht="12.75" customHeight="1" spans="2:7">
      <c r="B32" s="5" t="s">
        <v>55</v>
      </c>
      <c r="C32" s="3" t="s">
        <v>9</v>
      </c>
      <c r="D32" s="5" t="s">
        <v>56</v>
      </c>
      <c r="E32" s="3" t="s">
        <v>9</v>
      </c>
      <c r="F32" s="5" t="s">
        <v>57</v>
      </c>
      <c r="G32" s="3" t="s">
        <v>9</v>
      </c>
    </row>
    <row r="33" ht="12.75" customHeight="1" spans="2:7">
      <c r="B33" s="5" t="s">
        <v>58</v>
      </c>
      <c r="C33" s="3" t="s">
        <v>9</v>
      </c>
      <c r="D33" s="5" t="s">
        <v>59</v>
      </c>
      <c r="E33" s="3" t="s">
        <v>9</v>
      </c>
      <c r="F33" s="5" t="s">
        <v>9</v>
      </c>
      <c r="G33" s="3" t="s">
        <v>9</v>
      </c>
    </row>
    <row r="34" ht="12.75" customHeight="1" spans="2:7">
      <c r="B34" s="5" t="s">
        <v>6</v>
      </c>
      <c r="C34" s="3" t="s">
        <v>9</v>
      </c>
      <c r="D34" s="3" t="s">
        <v>9</v>
      </c>
      <c r="E34" s="3" t="s">
        <v>9</v>
      </c>
      <c r="F34" s="3" t="s">
        <v>9</v>
      </c>
      <c r="G34" s="3" t="s">
        <v>9</v>
      </c>
    </row>
    <row r="35" ht="12.75" customHeight="1" spans="2:7">
      <c r="B35" s="5" t="s">
        <v>9</v>
      </c>
      <c r="C35" s="3" t="s">
        <v>9</v>
      </c>
      <c r="D35" s="3" t="s">
        <v>9</v>
      </c>
      <c r="E35" s="3" t="s">
        <v>9</v>
      </c>
      <c r="F35" s="3" t="s">
        <v>9</v>
      </c>
      <c r="G35" s="3" t="s">
        <v>9</v>
      </c>
    </row>
    <row r="36" ht="12.75" customHeight="1" spans="2:8">
      <c r="B36" s="5" t="s">
        <v>60</v>
      </c>
      <c r="C36" s="5" t="s">
        <v>61</v>
      </c>
      <c r="D36" s="5" t="s">
        <v>43</v>
      </c>
      <c r="E36" s="5" t="s">
        <v>62</v>
      </c>
      <c r="F36" s="5" t="s">
        <v>63</v>
      </c>
      <c r="G36" s="5" t="s">
        <v>64</v>
      </c>
      <c r="H36" s="5" t="s">
        <v>65</v>
      </c>
    </row>
    <row r="37" ht="12.75" customHeight="1" spans="2:8">
      <c r="B37" s="5" t="s">
        <v>9</v>
      </c>
      <c r="C37" s="3" t="s">
        <v>96</v>
      </c>
      <c r="D37" s="3" t="s">
        <v>97</v>
      </c>
      <c r="E37" s="4" t="str">
        <f>HYPERLINK("#'业务数据类型'!A66","HsChar32")</f>
        <v>HsChar32</v>
      </c>
      <c r="F37" s="3" t="s">
        <v>45</v>
      </c>
      <c r="G37" s="6" t="s">
        <v>9</v>
      </c>
      <c r="H37" s="3" t="s">
        <v>9</v>
      </c>
    </row>
    <row r="38" ht="12.75" customHeight="1" spans="2:8">
      <c r="B38" s="5" t="s">
        <v>9</v>
      </c>
      <c r="C38" s="3" t="s">
        <v>98</v>
      </c>
      <c r="D38" s="3" t="s">
        <v>99</v>
      </c>
      <c r="E38" s="4" t="str">
        <f>HYPERLINK("#'业务数据类型'!A66","HsChar32")</f>
        <v>HsChar32</v>
      </c>
      <c r="F38" s="3" t="s">
        <v>70</v>
      </c>
      <c r="G38" s="6" t="s">
        <v>9</v>
      </c>
      <c r="H38" s="3" t="s">
        <v>9</v>
      </c>
    </row>
    <row r="39" ht="12.75" customHeight="1" spans="2:8">
      <c r="B39" s="5" t="s">
        <v>9</v>
      </c>
      <c r="C39" s="3" t="s">
        <v>100</v>
      </c>
      <c r="D39" s="3" t="s">
        <v>101</v>
      </c>
      <c r="E39" s="4" t="str">
        <f>HYPERLINK("#'业务数据类型'!A72","HsChar100")</f>
        <v>HsChar100</v>
      </c>
      <c r="F39" s="3" t="s">
        <v>70</v>
      </c>
      <c r="G39" s="6" t="s">
        <v>9</v>
      </c>
      <c r="H39" s="3" t="s">
        <v>9</v>
      </c>
    </row>
    <row r="40" ht="12.75" customHeight="1" spans="2:8">
      <c r="B40" s="5" t="s">
        <v>9</v>
      </c>
      <c r="C40" s="3" t="s">
        <v>102</v>
      </c>
      <c r="D40" s="3" t="s">
        <v>103</v>
      </c>
      <c r="E40" s="4" t="str">
        <f>HYPERLINK("#'业务数据类型'!A66","HsChar32")</f>
        <v>HsChar32</v>
      </c>
      <c r="F40" s="3" t="s">
        <v>70</v>
      </c>
      <c r="G40" s="6" t="s">
        <v>9</v>
      </c>
      <c r="H40" s="3" t="s">
        <v>9</v>
      </c>
    </row>
    <row r="41" ht="12.75" customHeight="1" spans="2:8">
      <c r="B41" s="5" t="s">
        <v>9</v>
      </c>
      <c r="C41" s="3" t="s">
        <v>104</v>
      </c>
      <c r="D41" s="3" t="s">
        <v>105</v>
      </c>
      <c r="E41" s="4" t="str">
        <f>HYPERLINK("#'业务数据类型'!A105","Hsnum16")</f>
        <v>Hsnum16</v>
      </c>
      <c r="F41" s="3" t="s">
        <v>70</v>
      </c>
      <c r="G41" s="6" t="s">
        <v>9</v>
      </c>
      <c r="H41" s="3" t="s">
        <v>9</v>
      </c>
    </row>
    <row r="42" ht="12.75" customHeight="1" spans="2:8">
      <c r="B42" s="5" t="s">
        <v>9</v>
      </c>
      <c r="C42" s="3" t="s">
        <v>106</v>
      </c>
      <c r="D42" s="3" t="s">
        <v>107</v>
      </c>
      <c r="E42" s="4" t="str">
        <f>HYPERLINK("#'业务数据类型'!A105","Hsnum16")</f>
        <v>Hsnum16</v>
      </c>
      <c r="F42" s="3" t="s">
        <v>70</v>
      </c>
      <c r="G42" s="6" t="s">
        <v>9</v>
      </c>
      <c r="H42" s="3" t="s">
        <v>9</v>
      </c>
    </row>
    <row r="43" ht="12.75" customHeight="1" spans="2:8">
      <c r="B43" s="5" t="s">
        <v>9</v>
      </c>
      <c r="C43" s="3" t="s">
        <v>108</v>
      </c>
      <c r="D43" s="3" t="s">
        <v>109</v>
      </c>
      <c r="E43" s="4" t="str">
        <f>HYPERLINK("#'业务数据类型'!A27","HsAmount")</f>
        <v>HsAmount</v>
      </c>
      <c r="F43" s="3" t="s">
        <v>70</v>
      </c>
      <c r="G43" s="6" t="s">
        <v>110</v>
      </c>
      <c r="H43" s="3" t="s">
        <v>9</v>
      </c>
    </row>
    <row r="44" ht="12.75" customHeight="1" spans="2:8">
      <c r="B44" s="5" t="s">
        <v>9</v>
      </c>
      <c r="C44" s="3" t="s">
        <v>111</v>
      </c>
      <c r="D44" s="3" t="s">
        <v>112</v>
      </c>
      <c r="E44" s="4" t="str">
        <f>HYPERLINK("#'业务数据类型'!A107","HsDateTime")</f>
        <v>HsDateTime</v>
      </c>
      <c r="F44" s="3" t="s">
        <v>70</v>
      </c>
      <c r="G44" s="6" t="s">
        <v>113</v>
      </c>
      <c r="H44" s="3" t="s">
        <v>9</v>
      </c>
    </row>
    <row r="45" ht="12.75" customHeight="1" spans="2:8">
      <c r="B45" s="5" t="s">
        <v>9</v>
      </c>
      <c r="C45" s="3" t="s">
        <v>114</v>
      </c>
      <c r="D45" s="3" t="s">
        <v>115</v>
      </c>
      <c r="E45" s="4" t="str">
        <f>HYPERLINK("#'业务数据类型'!A107","HsDateTime")</f>
        <v>HsDateTime</v>
      </c>
      <c r="F45" s="3" t="s">
        <v>70</v>
      </c>
      <c r="G45" s="6" t="s">
        <v>116</v>
      </c>
      <c r="H45" s="3" t="s">
        <v>9</v>
      </c>
    </row>
    <row r="46" ht="12.75" customHeight="1" spans="2:8">
      <c r="B46" s="5" t="s">
        <v>9</v>
      </c>
      <c r="C46" s="3" t="s">
        <v>117</v>
      </c>
      <c r="D46" s="3" t="s">
        <v>118</v>
      </c>
      <c r="E46" s="4" t="str">
        <f>HYPERLINK("#'业务数据类型'!A68","HsChar50")</f>
        <v>HsChar50</v>
      </c>
      <c r="F46" s="3" t="s">
        <v>70</v>
      </c>
      <c r="G46" s="6" t="s">
        <v>9</v>
      </c>
      <c r="H46" s="3" t="s">
        <v>9</v>
      </c>
    </row>
    <row r="47" ht="12.75" customHeight="1" spans="2:8">
      <c r="B47" s="5" t="s">
        <v>9</v>
      </c>
      <c r="C47" s="3" t="s">
        <v>119</v>
      </c>
      <c r="D47" s="3" t="s">
        <v>120</v>
      </c>
      <c r="E47" s="4" t="str">
        <f>HYPERLINK("#'业务数据类型'!A107","HsDateTime")</f>
        <v>HsDateTime</v>
      </c>
      <c r="F47" s="3" t="s">
        <v>70</v>
      </c>
      <c r="G47" s="6" t="s">
        <v>9</v>
      </c>
      <c r="H47" s="3" t="s">
        <v>9</v>
      </c>
    </row>
    <row r="48" ht="12.75" customHeight="1" spans="2:8">
      <c r="B48" s="5" t="s">
        <v>9</v>
      </c>
      <c r="C48" s="3" t="s">
        <v>121</v>
      </c>
      <c r="D48" s="3" t="s">
        <v>122</v>
      </c>
      <c r="E48" s="4" t="str">
        <f>HYPERLINK("#'业务数据类型'!A68","HsChar50")</f>
        <v>HsChar50</v>
      </c>
      <c r="F48" s="3" t="s">
        <v>70</v>
      </c>
      <c r="G48" s="6" t="s">
        <v>9</v>
      </c>
      <c r="H48" s="3" t="s">
        <v>9</v>
      </c>
    </row>
    <row r="49" ht="12.75" customHeight="1" spans="2:8">
      <c r="B49" s="5" t="s">
        <v>9</v>
      </c>
      <c r="C49" s="3" t="s">
        <v>123</v>
      </c>
      <c r="D49" s="3" t="s">
        <v>124</v>
      </c>
      <c r="E49" s="4" t="str">
        <f>HYPERLINK("#'业务数据类型'!A107","HsDateTime")</f>
        <v>HsDateTime</v>
      </c>
      <c r="F49" s="3" t="s">
        <v>70</v>
      </c>
      <c r="G49" s="6" t="s">
        <v>9</v>
      </c>
      <c r="H49" s="3" t="s">
        <v>9</v>
      </c>
    </row>
    <row r="50" ht="12.75" customHeight="1" spans="2:8">
      <c r="B50" s="5" t="s">
        <v>9</v>
      </c>
      <c r="C50" s="3" t="s">
        <v>125</v>
      </c>
      <c r="D50" s="3" t="s">
        <v>126</v>
      </c>
      <c r="E50" s="4" t="str">
        <f>HYPERLINK("#'业务数据类型'!A68","HsChar50")</f>
        <v>HsChar50</v>
      </c>
      <c r="F50" s="3" t="s">
        <v>70</v>
      </c>
      <c r="G50" s="6" t="s">
        <v>9</v>
      </c>
      <c r="H50" s="3" t="s">
        <v>9</v>
      </c>
    </row>
    <row r="51" ht="12.75" customHeight="1" spans="2:7">
      <c r="B51" s="5" t="s">
        <v>81</v>
      </c>
      <c r="C51" s="5" t="s">
        <v>82</v>
      </c>
      <c r="D51" s="5" t="s">
        <v>83</v>
      </c>
      <c r="E51" s="5" t="s">
        <v>84</v>
      </c>
      <c r="F51" s="5" t="s">
        <v>85</v>
      </c>
      <c r="G51" s="5" t="s">
        <v>86</v>
      </c>
    </row>
    <row r="52" ht="12.75" customHeight="1" spans="2:7">
      <c r="B52" s="5" t="s">
        <v>87</v>
      </c>
      <c r="C52" s="5" t="s">
        <v>88</v>
      </c>
      <c r="D52" s="5" t="s">
        <v>5</v>
      </c>
      <c r="E52" s="5" t="s">
        <v>89</v>
      </c>
      <c r="F52" s="5" t="s">
        <v>90</v>
      </c>
      <c r="G52" s="5" t="s">
        <v>91</v>
      </c>
    </row>
    <row r="53" ht="12.75" customHeight="1" spans="2:7">
      <c r="B53" s="5" t="s">
        <v>9</v>
      </c>
      <c r="C53" s="3" t="s">
        <v>127</v>
      </c>
      <c r="D53" s="3" t="s">
        <v>93</v>
      </c>
      <c r="E53" s="3" t="s">
        <v>96</v>
      </c>
      <c r="F53" s="3" t="s">
        <v>9</v>
      </c>
      <c r="G53" s="3" t="s">
        <v>9</v>
      </c>
    </row>
    <row r="54" ht="12.75" customHeight="1" spans="2:7">
      <c r="B54" s="5" t="s">
        <v>94</v>
      </c>
      <c r="C54" s="6" t="s">
        <v>9</v>
      </c>
      <c r="D54" s="6" t="s">
        <v>9</v>
      </c>
      <c r="E54" s="6" t="s">
        <v>9</v>
      </c>
      <c r="F54" s="6" t="s">
        <v>9</v>
      </c>
      <c r="G54" s="6" t="s">
        <v>9</v>
      </c>
    </row>
    <row r="57" ht="12.75" customHeight="1" spans="2:7">
      <c r="B57" s="5" t="s">
        <v>2</v>
      </c>
      <c r="C57" s="3" t="s">
        <v>9</v>
      </c>
      <c r="D57" s="3" t="s">
        <v>9</v>
      </c>
      <c r="E57" s="3" t="s">
        <v>9</v>
      </c>
      <c r="F57" s="5" t="s">
        <v>37</v>
      </c>
      <c r="G57" s="3" t="s">
        <v>9</v>
      </c>
    </row>
    <row r="58" ht="12.75" customHeight="1" spans="2:7">
      <c r="B58" s="5" t="s">
        <v>38</v>
      </c>
      <c r="C58" s="3" t="s">
        <v>128</v>
      </c>
      <c r="D58" s="5" t="s">
        <v>40</v>
      </c>
      <c r="E58" s="3" t="s">
        <v>41</v>
      </c>
      <c r="F58" s="5" t="s">
        <v>42</v>
      </c>
      <c r="G58" s="3" t="s">
        <v>9</v>
      </c>
    </row>
    <row r="59" ht="12.75" customHeight="1" spans="2:7">
      <c r="B59" s="5" t="s">
        <v>43</v>
      </c>
      <c r="C59" s="3" t="s">
        <v>14</v>
      </c>
      <c r="D59" s="5" t="s">
        <v>44</v>
      </c>
      <c r="E59" s="3" t="s">
        <v>45</v>
      </c>
      <c r="F59" s="5" t="s">
        <v>9</v>
      </c>
      <c r="G59" s="3" t="s">
        <v>9</v>
      </c>
    </row>
    <row r="60" ht="12.75" customHeight="1" spans="2:7">
      <c r="B60" s="5" t="s">
        <v>46</v>
      </c>
      <c r="C60" s="3" t="s">
        <v>9</v>
      </c>
      <c r="D60" s="5" t="s">
        <v>47</v>
      </c>
      <c r="E60" s="3" t="s">
        <v>9</v>
      </c>
      <c r="F60" s="5" t="s">
        <v>48</v>
      </c>
      <c r="G60" s="3" t="s">
        <v>9</v>
      </c>
    </row>
    <row r="61" ht="12.75" customHeight="1" spans="2:7">
      <c r="B61" s="5" t="s">
        <v>49</v>
      </c>
      <c r="C61" s="3" t="s">
        <v>45</v>
      </c>
      <c r="D61" s="5" t="s">
        <v>50</v>
      </c>
      <c r="E61" s="3" t="s">
        <v>45</v>
      </c>
      <c r="F61" s="5" t="s">
        <v>51</v>
      </c>
      <c r="G61" s="3" t="s">
        <v>45</v>
      </c>
    </row>
    <row r="62" ht="12.75" customHeight="1" spans="2:7">
      <c r="B62" s="5" t="s">
        <v>52</v>
      </c>
      <c r="C62" s="3" t="s">
        <v>9</v>
      </c>
      <c r="D62" s="5" t="s">
        <v>53</v>
      </c>
      <c r="E62" s="3" t="s">
        <v>9</v>
      </c>
      <c r="F62" s="5" t="s">
        <v>54</v>
      </c>
      <c r="G62" s="3" t="s">
        <v>9</v>
      </c>
    </row>
    <row r="63" ht="12.75" customHeight="1" spans="2:7">
      <c r="B63" s="5" t="s">
        <v>55</v>
      </c>
      <c r="C63" s="3" t="s">
        <v>9</v>
      </c>
      <c r="D63" s="5" t="s">
        <v>56</v>
      </c>
      <c r="E63" s="3" t="s">
        <v>9</v>
      </c>
      <c r="F63" s="5" t="s">
        <v>57</v>
      </c>
      <c r="G63" s="3" t="s">
        <v>9</v>
      </c>
    </row>
    <row r="64" ht="12.75" customHeight="1" spans="2:7">
      <c r="B64" s="5" t="s">
        <v>58</v>
      </c>
      <c r="C64" s="3" t="s">
        <v>9</v>
      </c>
      <c r="D64" s="5" t="s">
        <v>59</v>
      </c>
      <c r="E64" s="3" t="s">
        <v>9</v>
      </c>
      <c r="F64" s="5" t="s">
        <v>9</v>
      </c>
      <c r="G64" s="3" t="s">
        <v>9</v>
      </c>
    </row>
    <row r="65" ht="12.75" customHeight="1" spans="2:7">
      <c r="B65" s="5" t="s">
        <v>6</v>
      </c>
      <c r="C65" s="3" t="s">
        <v>9</v>
      </c>
      <c r="D65" s="3" t="s">
        <v>9</v>
      </c>
      <c r="E65" s="3" t="s">
        <v>9</v>
      </c>
      <c r="F65" s="3" t="s">
        <v>9</v>
      </c>
      <c r="G65" s="3" t="s">
        <v>9</v>
      </c>
    </row>
    <row r="66" ht="12.75" customHeight="1" spans="2:7">
      <c r="B66" s="5" t="s">
        <v>9</v>
      </c>
      <c r="C66" s="3" t="s">
        <v>9</v>
      </c>
      <c r="D66" s="3" t="s">
        <v>9</v>
      </c>
      <c r="E66" s="3" t="s">
        <v>9</v>
      </c>
      <c r="F66" s="3" t="s">
        <v>9</v>
      </c>
      <c r="G66" s="3" t="s">
        <v>9</v>
      </c>
    </row>
    <row r="67" ht="12.75" customHeight="1" spans="2:8">
      <c r="B67" s="5" t="s">
        <v>60</v>
      </c>
      <c r="C67" s="5" t="s">
        <v>61</v>
      </c>
      <c r="D67" s="5" t="s">
        <v>43</v>
      </c>
      <c r="E67" s="5" t="s">
        <v>62</v>
      </c>
      <c r="F67" s="5" t="s">
        <v>63</v>
      </c>
      <c r="G67" s="5" t="s">
        <v>64</v>
      </c>
      <c r="H67" s="5" t="s">
        <v>65</v>
      </c>
    </row>
    <row r="68" ht="12.75" customHeight="1" spans="2:8">
      <c r="B68" s="5" t="s">
        <v>9</v>
      </c>
      <c r="C68" s="3" t="s">
        <v>129</v>
      </c>
      <c r="D68" s="3" t="s">
        <v>130</v>
      </c>
      <c r="E68" s="4" t="str">
        <f>HYPERLINK("#'业务数据类型'!A37","HsChar6")</f>
        <v>HsChar6</v>
      </c>
      <c r="F68" s="3" t="s">
        <v>45</v>
      </c>
      <c r="G68" s="6" t="s">
        <v>131</v>
      </c>
      <c r="H68" s="3" t="s">
        <v>9</v>
      </c>
    </row>
    <row r="69" ht="12.75" customHeight="1" spans="2:8">
      <c r="B69" s="5" t="s">
        <v>9</v>
      </c>
      <c r="C69" s="3" t="s">
        <v>132</v>
      </c>
      <c r="D69" s="3" t="s">
        <v>133</v>
      </c>
      <c r="E69" s="4" t="str">
        <f>HYPERLINK("#'业务数据类型'!A68","HsChar50")</f>
        <v>HsChar50</v>
      </c>
      <c r="F69" s="3" t="s">
        <v>70</v>
      </c>
      <c r="G69" s="6" t="s">
        <v>9</v>
      </c>
      <c r="H69" s="3" t="s">
        <v>9</v>
      </c>
    </row>
    <row r="70" ht="12.75" customHeight="1" spans="2:8">
      <c r="B70" s="5" t="s">
        <v>9</v>
      </c>
      <c r="C70" s="3" t="s">
        <v>134</v>
      </c>
      <c r="D70" s="3" t="s">
        <v>135</v>
      </c>
      <c r="E70" s="4" t="str">
        <f>HYPERLINK("#'业务数据类型'!A66","HsChar32")</f>
        <v>HsChar32</v>
      </c>
      <c r="F70" s="3" t="s">
        <v>70</v>
      </c>
      <c r="G70" s="6" t="s">
        <v>9</v>
      </c>
      <c r="H70" s="3" t="s">
        <v>9</v>
      </c>
    </row>
    <row r="71" ht="12.75" customHeight="1" spans="2:8">
      <c r="B71" s="5" t="s">
        <v>9</v>
      </c>
      <c r="C71" s="3" t="s">
        <v>75</v>
      </c>
      <c r="D71" s="3" t="s">
        <v>76</v>
      </c>
      <c r="E71" s="4" t="str">
        <f>HYPERLINK("#'业务数据类型'!A68","HsChar50")</f>
        <v>HsChar50</v>
      </c>
      <c r="F71" s="3" t="s">
        <v>70</v>
      </c>
      <c r="G71" s="6" t="s">
        <v>9</v>
      </c>
      <c r="H71" s="3" t="s">
        <v>9</v>
      </c>
    </row>
    <row r="72" ht="12.75" customHeight="1" spans="2:8">
      <c r="B72" s="5" t="s">
        <v>9</v>
      </c>
      <c r="C72" s="3" t="s">
        <v>77</v>
      </c>
      <c r="D72" s="3" t="s">
        <v>78</v>
      </c>
      <c r="E72" s="4" t="str">
        <f>HYPERLINK("#'业务数据类型'!A68","HsChar50")</f>
        <v>HsChar50</v>
      </c>
      <c r="F72" s="3" t="s">
        <v>70</v>
      </c>
      <c r="G72" s="6" t="s">
        <v>9</v>
      </c>
      <c r="H72" s="3" t="s">
        <v>9</v>
      </c>
    </row>
    <row r="73" ht="12.75" customHeight="1" spans="2:8">
      <c r="B73" s="5" t="s">
        <v>9</v>
      </c>
      <c r="C73" s="3" t="s">
        <v>79</v>
      </c>
      <c r="D73" s="3" t="s">
        <v>80</v>
      </c>
      <c r="E73" s="4" t="str">
        <f>HYPERLINK("#'业务数据类型'!A68","HsChar50")</f>
        <v>HsChar50</v>
      </c>
      <c r="F73" s="3" t="s">
        <v>70</v>
      </c>
      <c r="G73" s="6" t="s">
        <v>9</v>
      </c>
      <c r="H73" s="3" t="s">
        <v>9</v>
      </c>
    </row>
    <row r="74" ht="12.75" customHeight="1" spans="2:7">
      <c r="B74" s="5" t="s">
        <v>81</v>
      </c>
      <c r="C74" s="5" t="s">
        <v>82</v>
      </c>
      <c r="D74" s="5" t="s">
        <v>83</v>
      </c>
      <c r="E74" s="5" t="s">
        <v>84</v>
      </c>
      <c r="F74" s="5" t="s">
        <v>85</v>
      </c>
      <c r="G74" s="5" t="s">
        <v>86</v>
      </c>
    </row>
    <row r="75" ht="12.75" customHeight="1" spans="2:7">
      <c r="B75" s="5" t="s">
        <v>87</v>
      </c>
      <c r="C75" s="5" t="s">
        <v>88</v>
      </c>
      <c r="D75" s="5" t="s">
        <v>5</v>
      </c>
      <c r="E75" s="5" t="s">
        <v>89</v>
      </c>
      <c r="F75" s="5" t="s">
        <v>90</v>
      </c>
      <c r="G75" s="5" t="s">
        <v>91</v>
      </c>
    </row>
    <row r="76" ht="12.75" customHeight="1" spans="2:7">
      <c r="B76" s="5" t="s">
        <v>9</v>
      </c>
      <c r="C76" s="3" t="s">
        <v>136</v>
      </c>
      <c r="D76" s="3" t="s">
        <v>93</v>
      </c>
      <c r="E76" s="3" t="s">
        <v>129</v>
      </c>
      <c r="F76" s="3" t="s">
        <v>9</v>
      </c>
      <c r="G76" s="3" t="s">
        <v>9</v>
      </c>
    </row>
    <row r="77" ht="12.75" customHeight="1" spans="2:7">
      <c r="B77" s="5" t="s">
        <v>94</v>
      </c>
      <c r="C77" s="6" t="s">
        <v>9</v>
      </c>
      <c r="D77" s="6" t="s">
        <v>9</v>
      </c>
      <c r="E77" s="6" t="s">
        <v>9</v>
      </c>
      <c r="F77" s="6" t="s">
        <v>9</v>
      </c>
      <c r="G77" s="6" t="s">
        <v>9</v>
      </c>
    </row>
    <row r="80" ht="12.75" customHeight="1" spans="2:7">
      <c r="B80" s="5" t="s">
        <v>2</v>
      </c>
      <c r="C80" s="3" t="s">
        <v>9</v>
      </c>
      <c r="D80" s="3" t="s">
        <v>9</v>
      </c>
      <c r="E80" s="3" t="s">
        <v>9</v>
      </c>
      <c r="F80" s="5" t="s">
        <v>37</v>
      </c>
      <c r="G80" s="3" t="s">
        <v>9</v>
      </c>
    </row>
    <row r="81" ht="12.75" customHeight="1" spans="2:7">
      <c r="B81" s="5" t="s">
        <v>38</v>
      </c>
      <c r="C81" s="3" t="s">
        <v>137</v>
      </c>
      <c r="D81" s="5" t="s">
        <v>40</v>
      </c>
      <c r="E81" s="3" t="s">
        <v>41</v>
      </c>
      <c r="F81" s="5" t="s">
        <v>42</v>
      </c>
      <c r="G81" s="3" t="s">
        <v>9</v>
      </c>
    </row>
    <row r="82" ht="12.75" customHeight="1" spans="2:7">
      <c r="B82" s="5" t="s">
        <v>43</v>
      </c>
      <c r="C82" s="3" t="s">
        <v>16</v>
      </c>
      <c r="D82" s="5" t="s">
        <v>44</v>
      </c>
      <c r="E82" s="3" t="s">
        <v>45</v>
      </c>
      <c r="F82" s="5" t="s">
        <v>9</v>
      </c>
      <c r="G82" s="3" t="s">
        <v>9</v>
      </c>
    </row>
    <row r="83" ht="12.75" customHeight="1" spans="2:7">
      <c r="B83" s="5" t="s">
        <v>46</v>
      </c>
      <c r="C83" s="3" t="s">
        <v>9</v>
      </c>
      <c r="D83" s="5" t="s">
        <v>47</v>
      </c>
      <c r="E83" s="3" t="s">
        <v>9</v>
      </c>
      <c r="F83" s="5" t="s">
        <v>48</v>
      </c>
      <c r="G83" s="3" t="s">
        <v>9</v>
      </c>
    </row>
    <row r="84" ht="12.75" customHeight="1" spans="2:7">
      <c r="B84" s="5" t="s">
        <v>49</v>
      </c>
      <c r="C84" s="3" t="s">
        <v>45</v>
      </c>
      <c r="D84" s="5" t="s">
        <v>50</v>
      </c>
      <c r="E84" s="3" t="s">
        <v>45</v>
      </c>
      <c r="F84" s="5" t="s">
        <v>51</v>
      </c>
      <c r="G84" s="3" t="s">
        <v>45</v>
      </c>
    </row>
    <row r="85" ht="12.75" customHeight="1" spans="2:7">
      <c r="B85" s="5" t="s">
        <v>52</v>
      </c>
      <c r="C85" s="3" t="s">
        <v>9</v>
      </c>
      <c r="D85" s="5" t="s">
        <v>53</v>
      </c>
      <c r="E85" s="3" t="s">
        <v>9</v>
      </c>
      <c r="F85" s="5" t="s">
        <v>54</v>
      </c>
      <c r="G85" s="3" t="s">
        <v>9</v>
      </c>
    </row>
    <row r="86" ht="12.75" customHeight="1" spans="2:7">
      <c r="B86" s="5" t="s">
        <v>55</v>
      </c>
      <c r="C86" s="3" t="s">
        <v>9</v>
      </c>
      <c r="D86" s="5" t="s">
        <v>56</v>
      </c>
      <c r="E86" s="3" t="s">
        <v>9</v>
      </c>
      <c r="F86" s="5" t="s">
        <v>57</v>
      </c>
      <c r="G86" s="3" t="s">
        <v>9</v>
      </c>
    </row>
    <row r="87" ht="12.75" customHeight="1" spans="2:7">
      <c r="B87" s="5" t="s">
        <v>58</v>
      </c>
      <c r="C87" s="3" t="s">
        <v>9</v>
      </c>
      <c r="D87" s="5" t="s">
        <v>59</v>
      </c>
      <c r="E87" s="3" t="s">
        <v>9</v>
      </c>
      <c r="F87" s="5" t="s">
        <v>9</v>
      </c>
      <c r="G87" s="3" t="s">
        <v>9</v>
      </c>
    </row>
    <row r="88" ht="12.75" customHeight="1" spans="2:7">
      <c r="B88" s="5" t="s">
        <v>6</v>
      </c>
      <c r="C88" s="3" t="s">
        <v>9</v>
      </c>
      <c r="D88" s="3" t="s">
        <v>9</v>
      </c>
      <c r="E88" s="3" t="s">
        <v>9</v>
      </c>
      <c r="F88" s="3" t="s">
        <v>9</v>
      </c>
      <c r="G88" s="3" t="s">
        <v>9</v>
      </c>
    </row>
    <row r="89" ht="12.75" customHeight="1" spans="2:7">
      <c r="B89" s="5" t="s">
        <v>9</v>
      </c>
      <c r="C89" s="3" t="s">
        <v>9</v>
      </c>
      <c r="D89" s="3" t="s">
        <v>9</v>
      </c>
      <c r="E89" s="3" t="s">
        <v>9</v>
      </c>
      <c r="F89" s="3" t="s">
        <v>9</v>
      </c>
      <c r="G89" s="3" t="s">
        <v>9</v>
      </c>
    </row>
    <row r="90" ht="12.75" customHeight="1" spans="2:8">
      <c r="B90" s="5" t="s">
        <v>60</v>
      </c>
      <c r="C90" s="5" t="s">
        <v>61</v>
      </c>
      <c r="D90" s="5" t="s">
        <v>43</v>
      </c>
      <c r="E90" s="5" t="s">
        <v>62</v>
      </c>
      <c r="F90" s="5" t="s">
        <v>63</v>
      </c>
      <c r="G90" s="5" t="s">
        <v>64</v>
      </c>
      <c r="H90" s="5" t="s">
        <v>65</v>
      </c>
    </row>
    <row r="91" ht="12.75" customHeight="1" spans="2:8">
      <c r="B91" s="5" t="s">
        <v>9</v>
      </c>
      <c r="C91" s="3" t="s">
        <v>138</v>
      </c>
      <c r="D91" s="3" t="s">
        <v>139</v>
      </c>
      <c r="E91" s="4" t="str">
        <f>HYPERLINK("#'业务数据类型'!A68","HsChar50")</f>
        <v>HsChar50</v>
      </c>
      <c r="F91" s="3" t="s">
        <v>45</v>
      </c>
      <c r="G91" s="6" t="s">
        <v>9</v>
      </c>
      <c r="H91" s="3" t="s">
        <v>9</v>
      </c>
    </row>
    <row r="92" ht="12.75" customHeight="1" spans="2:8">
      <c r="B92" s="5" t="s">
        <v>9</v>
      </c>
      <c r="C92" s="3" t="s">
        <v>140</v>
      </c>
      <c r="D92" s="3" t="s">
        <v>141</v>
      </c>
      <c r="E92" s="4" t="str">
        <f>HYPERLINK("#'业务数据类型'!A72","HsChar100")</f>
        <v>HsChar100</v>
      </c>
      <c r="F92" s="3" t="s">
        <v>70</v>
      </c>
      <c r="G92" s="6" t="s">
        <v>9</v>
      </c>
      <c r="H92" s="3" t="s">
        <v>9</v>
      </c>
    </row>
    <row r="93" ht="12.75" customHeight="1" spans="2:8">
      <c r="B93" s="5" t="s">
        <v>9</v>
      </c>
      <c r="C93" s="3" t="s">
        <v>142</v>
      </c>
      <c r="D93" s="3" t="s">
        <v>143</v>
      </c>
      <c r="E93" s="4" t="str">
        <f>HYPERLINK("#'业务数据类型'!A68","HsChar50")</f>
        <v>HsChar50</v>
      </c>
      <c r="F93" s="3" t="s">
        <v>70</v>
      </c>
      <c r="G93" s="6" t="s">
        <v>144</v>
      </c>
      <c r="H93" s="3" t="s">
        <v>9</v>
      </c>
    </row>
    <row r="94" ht="12.75" customHeight="1" spans="2:8">
      <c r="B94" s="5" t="s">
        <v>9</v>
      </c>
      <c r="C94" s="3" t="s">
        <v>145</v>
      </c>
      <c r="D94" s="3" t="s">
        <v>146</v>
      </c>
      <c r="E94" s="4" t="str">
        <f>HYPERLINK("#'业务数据类型'!A105","Hsnum16")</f>
        <v>Hsnum16</v>
      </c>
      <c r="F94" s="3" t="s">
        <v>70</v>
      </c>
      <c r="G94" s="6" t="s">
        <v>9</v>
      </c>
      <c r="H94" s="3" t="s">
        <v>9</v>
      </c>
    </row>
    <row r="95" ht="12.75" customHeight="1" spans="2:8">
      <c r="B95" s="5" t="s">
        <v>9</v>
      </c>
      <c r="C95" s="3" t="s">
        <v>111</v>
      </c>
      <c r="D95" s="3" t="s">
        <v>112</v>
      </c>
      <c r="E95" s="4" t="str">
        <f>HYPERLINK("#'业务数据类型'!A107","HsDateTime")</f>
        <v>HsDateTime</v>
      </c>
      <c r="F95" s="3" t="s">
        <v>70</v>
      </c>
      <c r="G95" s="6" t="s">
        <v>113</v>
      </c>
      <c r="H95" s="3" t="s">
        <v>9</v>
      </c>
    </row>
    <row r="96" ht="12.75" customHeight="1" spans="2:8">
      <c r="B96" s="5" t="s">
        <v>9</v>
      </c>
      <c r="C96" s="3" t="s">
        <v>114</v>
      </c>
      <c r="D96" s="3" t="s">
        <v>115</v>
      </c>
      <c r="E96" s="4" t="str">
        <f>HYPERLINK("#'业务数据类型'!A107","HsDateTime")</f>
        <v>HsDateTime</v>
      </c>
      <c r="F96" s="3" t="s">
        <v>70</v>
      </c>
      <c r="G96" s="6" t="s">
        <v>116</v>
      </c>
      <c r="H96" s="3" t="s">
        <v>9</v>
      </c>
    </row>
    <row r="97" ht="12.75" customHeight="1" spans="2:8">
      <c r="B97" s="5" t="s">
        <v>9</v>
      </c>
      <c r="C97" s="3" t="s">
        <v>147</v>
      </c>
      <c r="D97" s="3" t="s">
        <v>148</v>
      </c>
      <c r="E97" s="4" t="str">
        <f>HYPERLINK("#'业务数据类型'!A105","Hsnum16")</f>
        <v>Hsnum16</v>
      </c>
      <c r="F97" s="3" t="s">
        <v>70</v>
      </c>
      <c r="G97" s="6" t="s">
        <v>9</v>
      </c>
      <c r="H97" s="3" t="s">
        <v>9</v>
      </c>
    </row>
    <row r="98" ht="12.75" customHeight="1" spans="2:8">
      <c r="B98" s="5" t="s">
        <v>9</v>
      </c>
      <c r="C98" s="3" t="s">
        <v>149</v>
      </c>
      <c r="D98" s="3" t="s">
        <v>150</v>
      </c>
      <c r="E98" s="4" t="str">
        <f>HYPERLINK("#'业务数据类型'!A105","Hsnum16")</f>
        <v>Hsnum16</v>
      </c>
      <c r="F98" s="3" t="s">
        <v>70</v>
      </c>
      <c r="G98" s="6" t="s">
        <v>9</v>
      </c>
      <c r="H98" s="3" t="s">
        <v>9</v>
      </c>
    </row>
    <row r="99" ht="12.75" customHeight="1" spans="2:8">
      <c r="B99" s="5" t="s">
        <v>9</v>
      </c>
      <c r="C99" s="3" t="s">
        <v>117</v>
      </c>
      <c r="D99" s="3" t="s">
        <v>118</v>
      </c>
      <c r="E99" s="4" t="str">
        <f>HYPERLINK("#'业务数据类型'!A68","HsChar50")</f>
        <v>HsChar50</v>
      </c>
      <c r="F99" s="3" t="s">
        <v>70</v>
      </c>
      <c r="G99" s="6" t="s">
        <v>9</v>
      </c>
      <c r="H99" s="3" t="s">
        <v>9</v>
      </c>
    </row>
    <row r="100" ht="12.75" customHeight="1" spans="2:8">
      <c r="B100" s="5" t="s">
        <v>9</v>
      </c>
      <c r="C100" s="3" t="s">
        <v>119</v>
      </c>
      <c r="D100" s="3" t="s">
        <v>120</v>
      </c>
      <c r="E100" s="4" t="str">
        <f>HYPERLINK("#'业务数据类型'!A107","HsDateTime")</f>
        <v>HsDateTime</v>
      </c>
      <c r="F100" s="3" t="s">
        <v>70</v>
      </c>
      <c r="G100" s="6" t="s">
        <v>9</v>
      </c>
      <c r="H100" s="3" t="s">
        <v>9</v>
      </c>
    </row>
    <row r="101" ht="12.75" customHeight="1" spans="2:8">
      <c r="B101" s="5" t="s">
        <v>9</v>
      </c>
      <c r="C101" s="3" t="s">
        <v>121</v>
      </c>
      <c r="D101" s="3" t="s">
        <v>122</v>
      </c>
      <c r="E101" s="4" t="str">
        <f>HYPERLINK("#'业务数据类型'!A68","HsChar50")</f>
        <v>HsChar50</v>
      </c>
      <c r="F101" s="3" t="s">
        <v>70</v>
      </c>
      <c r="G101" s="6" t="s">
        <v>9</v>
      </c>
      <c r="H101" s="3" t="s">
        <v>9</v>
      </c>
    </row>
    <row r="102" ht="12.75" customHeight="1" spans="2:8">
      <c r="B102" s="5" t="s">
        <v>9</v>
      </c>
      <c r="C102" s="3" t="s">
        <v>123</v>
      </c>
      <c r="D102" s="3" t="s">
        <v>124</v>
      </c>
      <c r="E102" s="4" t="str">
        <f>HYPERLINK("#'业务数据类型'!A107","HsDateTime")</f>
        <v>HsDateTime</v>
      </c>
      <c r="F102" s="3" t="s">
        <v>70</v>
      </c>
      <c r="G102" s="6" t="s">
        <v>9</v>
      </c>
      <c r="H102" s="3" t="s">
        <v>9</v>
      </c>
    </row>
    <row r="103" ht="12.75" customHeight="1" spans="2:7">
      <c r="B103" s="5" t="s">
        <v>81</v>
      </c>
      <c r="C103" s="5" t="s">
        <v>82</v>
      </c>
      <c r="D103" s="5" t="s">
        <v>83</v>
      </c>
      <c r="E103" s="5" t="s">
        <v>84</v>
      </c>
      <c r="F103" s="5" t="s">
        <v>85</v>
      </c>
      <c r="G103" s="5" t="s">
        <v>86</v>
      </c>
    </row>
    <row r="104" ht="12.75" customHeight="1" spans="2:7">
      <c r="B104" s="5" t="s">
        <v>87</v>
      </c>
      <c r="C104" s="5" t="s">
        <v>88</v>
      </c>
      <c r="D104" s="5" t="s">
        <v>5</v>
      </c>
      <c r="E104" s="5" t="s">
        <v>89</v>
      </c>
      <c r="F104" s="5" t="s">
        <v>90</v>
      </c>
      <c r="G104" s="5" t="s">
        <v>91</v>
      </c>
    </row>
    <row r="105" ht="12.75" customHeight="1" spans="2:7">
      <c r="B105" s="5" t="s">
        <v>9</v>
      </c>
      <c r="C105" s="3" t="s">
        <v>151</v>
      </c>
      <c r="D105" s="3" t="s">
        <v>93</v>
      </c>
      <c r="E105" s="3" t="s">
        <v>138</v>
      </c>
      <c r="F105" s="3" t="s">
        <v>9</v>
      </c>
      <c r="G105" s="3" t="s">
        <v>9</v>
      </c>
    </row>
    <row r="106" ht="12.75" customHeight="1" spans="2:7">
      <c r="B106" s="5" t="s">
        <v>94</v>
      </c>
      <c r="C106" s="6" t="s">
        <v>9</v>
      </c>
      <c r="D106" s="6" t="s">
        <v>9</v>
      </c>
      <c r="E106" s="6" t="s">
        <v>9</v>
      </c>
      <c r="F106" s="6" t="s">
        <v>9</v>
      </c>
      <c r="G106" s="6" t="s">
        <v>9</v>
      </c>
    </row>
    <row r="109" ht="12.75" customHeight="1" spans="2:7">
      <c r="B109" s="5" t="s">
        <v>2</v>
      </c>
      <c r="C109" s="3" t="s">
        <v>9</v>
      </c>
      <c r="D109" s="3" t="s">
        <v>9</v>
      </c>
      <c r="E109" s="3" t="s">
        <v>9</v>
      </c>
      <c r="F109" s="5" t="s">
        <v>37</v>
      </c>
      <c r="G109" s="3" t="s">
        <v>9</v>
      </c>
    </row>
    <row r="110" ht="12.75" customHeight="1" spans="2:7">
      <c r="B110" s="5" t="s">
        <v>38</v>
      </c>
      <c r="C110" s="3" t="s">
        <v>152</v>
      </c>
      <c r="D110" s="5" t="s">
        <v>40</v>
      </c>
      <c r="E110" s="3" t="s">
        <v>41</v>
      </c>
      <c r="F110" s="5" t="s">
        <v>42</v>
      </c>
      <c r="G110" s="3" t="s">
        <v>9</v>
      </c>
    </row>
    <row r="111" ht="12.75" customHeight="1" spans="2:7">
      <c r="B111" s="5" t="s">
        <v>43</v>
      </c>
      <c r="C111" s="3" t="s">
        <v>17</v>
      </c>
      <c r="D111" s="5" t="s">
        <v>44</v>
      </c>
      <c r="E111" s="3" t="s">
        <v>45</v>
      </c>
      <c r="F111" s="5" t="s">
        <v>9</v>
      </c>
      <c r="G111" s="3" t="s">
        <v>9</v>
      </c>
    </row>
    <row r="112" ht="12.75" customHeight="1" spans="2:7">
      <c r="B112" s="5" t="s">
        <v>46</v>
      </c>
      <c r="C112" s="3" t="s">
        <v>9</v>
      </c>
      <c r="D112" s="5" t="s">
        <v>47</v>
      </c>
      <c r="E112" s="3" t="s">
        <v>9</v>
      </c>
      <c r="F112" s="5" t="s">
        <v>48</v>
      </c>
      <c r="G112" s="3" t="s">
        <v>9</v>
      </c>
    </row>
    <row r="113" ht="12.75" customHeight="1" spans="2:7">
      <c r="B113" s="5" t="s">
        <v>49</v>
      </c>
      <c r="C113" s="3" t="s">
        <v>45</v>
      </c>
      <c r="D113" s="5" t="s">
        <v>50</v>
      </c>
      <c r="E113" s="3" t="s">
        <v>45</v>
      </c>
      <c r="F113" s="5" t="s">
        <v>51</v>
      </c>
      <c r="G113" s="3" t="s">
        <v>45</v>
      </c>
    </row>
    <row r="114" ht="12.75" customHeight="1" spans="2:7">
      <c r="B114" s="5" t="s">
        <v>52</v>
      </c>
      <c r="C114" s="3" t="s">
        <v>9</v>
      </c>
      <c r="D114" s="5" t="s">
        <v>53</v>
      </c>
      <c r="E114" s="3" t="s">
        <v>9</v>
      </c>
      <c r="F114" s="5" t="s">
        <v>54</v>
      </c>
      <c r="G114" s="3" t="s">
        <v>9</v>
      </c>
    </row>
    <row r="115" ht="12.75" customHeight="1" spans="2:7">
      <c r="B115" s="5" t="s">
        <v>55</v>
      </c>
      <c r="C115" s="3" t="s">
        <v>9</v>
      </c>
      <c r="D115" s="5" t="s">
        <v>56</v>
      </c>
      <c r="E115" s="3" t="s">
        <v>9</v>
      </c>
      <c r="F115" s="5" t="s">
        <v>57</v>
      </c>
      <c r="G115" s="3" t="s">
        <v>9</v>
      </c>
    </row>
    <row r="116" ht="12.75" customHeight="1" spans="2:7">
      <c r="B116" s="5" t="s">
        <v>58</v>
      </c>
      <c r="C116" s="3" t="s">
        <v>9</v>
      </c>
      <c r="D116" s="5" t="s">
        <v>59</v>
      </c>
      <c r="E116" s="3" t="s">
        <v>9</v>
      </c>
      <c r="F116" s="5" t="s">
        <v>9</v>
      </c>
      <c r="G116" s="3" t="s">
        <v>9</v>
      </c>
    </row>
    <row r="117" ht="12.75" customHeight="1" spans="2:7">
      <c r="B117" s="5" t="s">
        <v>6</v>
      </c>
      <c r="C117" s="3" t="s">
        <v>9</v>
      </c>
      <c r="D117" s="3" t="s">
        <v>9</v>
      </c>
      <c r="E117" s="3" t="s">
        <v>9</v>
      </c>
      <c r="F117" s="3" t="s">
        <v>9</v>
      </c>
      <c r="G117" s="3" t="s">
        <v>9</v>
      </c>
    </row>
    <row r="118" ht="12.75" customHeight="1" spans="2:7">
      <c r="B118" s="5" t="s">
        <v>9</v>
      </c>
      <c r="C118" s="3" t="s">
        <v>9</v>
      </c>
      <c r="D118" s="3" t="s">
        <v>9</v>
      </c>
      <c r="E118" s="3" t="s">
        <v>9</v>
      </c>
      <c r="F118" s="3" t="s">
        <v>9</v>
      </c>
      <c r="G118" s="3" t="s">
        <v>9</v>
      </c>
    </row>
    <row r="119" ht="12.75" customHeight="1" spans="2:8">
      <c r="B119" s="5" t="s">
        <v>60</v>
      </c>
      <c r="C119" s="5" t="s">
        <v>61</v>
      </c>
      <c r="D119" s="5" t="s">
        <v>43</v>
      </c>
      <c r="E119" s="5" t="s">
        <v>62</v>
      </c>
      <c r="F119" s="5" t="s">
        <v>63</v>
      </c>
      <c r="G119" s="5" t="s">
        <v>64</v>
      </c>
      <c r="H119" s="5" t="s">
        <v>65</v>
      </c>
    </row>
    <row r="120" ht="12.75" customHeight="1" spans="2:8">
      <c r="B120" s="5" t="s">
        <v>9</v>
      </c>
      <c r="C120" s="3" t="s">
        <v>153</v>
      </c>
      <c r="D120" s="3" t="s">
        <v>154</v>
      </c>
      <c r="E120" s="4" t="str">
        <f>HYPERLINK("#'业务数据类型'!A68","HsChar50")</f>
        <v>HsChar50</v>
      </c>
      <c r="F120" s="3" t="s">
        <v>45</v>
      </c>
      <c r="G120" s="6" t="s">
        <v>9</v>
      </c>
      <c r="H120" s="3" t="s">
        <v>9</v>
      </c>
    </row>
    <row r="121" ht="12.75" customHeight="1" spans="2:8">
      <c r="B121" s="5" t="s">
        <v>9</v>
      </c>
      <c r="C121" s="3" t="s">
        <v>155</v>
      </c>
      <c r="D121" s="3" t="s">
        <v>156</v>
      </c>
      <c r="E121" s="4" t="str">
        <f>HYPERLINK("#'业务数据类型'!A77","HsChar200")</f>
        <v>HsChar200</v>
      </c>
      <c r="F121" s="3" t="s">
        <v>70</v>
      </c>
      <c r="G121" s="6" t="s">
        <v>9</v>
      </c>
      <c r="H121" s="3" t="s">
        <v>9</v>
      </c>
    </row>
    <row r="122" ht="12.75" customHeight="1" spans="2:8">
      <c r="B122" s="5" t="s">
        <v>9</v>
      </c>
      <c r="C122" s="3" t="s">
        <v>157</v>
      </c>
      <c r="D122" s="3" t="s">
        <v>158</v>
      </c>
      <c r="E122" s="4" t="str">
        <f>HYPERLINK("#'业务数据类型'!A81","HsChar500")</f>
        <v>HsChar500</v>
      </c>
      <c r="F122" s="3" t="s">
        <v>70</v>
      </c>
      <c r="G122" s="6" t="s">
        <v>9</v>
      </c>
      <c r="H122" s="3" t="s">
        <v>9</v>
      </c>
    </row>
    <row r="123" ht="12.75" customHeight="1" spans="2:8">
      <c r="B123" s="5" t="s">
        <v>9</v>
      </c>
      <c r="C123" s="3" t="s">
        <v>159</v>
      </c>
      <c r="D123" s="3" t="s">
        <v>160</v>
      </c>
      <c r="E123" s="4" t="str">
        <f>HYPERLINK("#'业务数据类型'!A107","HsDateTime")</f>
        <v>HsDateTime</v>
      </c>
      <c r="F123" s="3" t="s">
        <v>70</v>
      </c>
      <c r="G123" s="6" t="s">
        <v>9</v>
      </c>
      <c r="H123" s="3" t="s">
        <v>9</v>
      </c>
    </row>
    <row r="124" ht="12.75" customHeight="1" spans="2:8">
      <c r="B124" s="5" t="s">
        <v>9</v>
      </c>
      <c r="C124" s="3" t="s">
        <v>96</v>
      </c>
      <c r="D124" s="3" t="s">
        <v>97</v>
      </c>
      <c r="E124" s="4" t="str">
        <f>HYPERLINK("#'业务数据类型'!A66","HsChar32")</f>
        <v>HsChar32</v>
      </c>
      <c r="F124" s="3" t="s">
        <v>70</v>
      </c>
      <c r="G124" s="6" t="s">
        <v>9</v>
      </c>
      <c r="H124" s="3" t="s">
        <v>9</v>
      </c>
    </row>
    <row r="125" ht="12.75" customHeight="1" spans="2:8">
      <c r="B125" s="5" t="s">
        <v>9</v>
      </c>
      <c r="C125" s="3" t="s">
        <v>140</v>
      </c>
      <c r="D125" s="3" t="s">
        <v>141</v>
      </c>
      <c r="E125" s="4" t="str">
        <f>HYPERLINK("#'业务数据类型'!A72","HsChar100")</f>
        <v>HsChar100</v>
      </c>
      <c r="F125" s="3" t="s">
        <v>70</v>
      </c>
      <c r="G125" s="6" t="s">
        <v>9</v>
      </c>
      <c r="H125" s="3" t="s">
        <v>9</v>
      </c>
    </row>
    <row r="126" ht="12.75" customHeight="1" spans="2:8">
      <c r="B126" s="5" t="s">
        <v>9</v>
      </c>
      <c r="C126" s="3" t="s">
        <v>161</v>
      </c>
      <c r="D126" s="3" t="s">
        <v>162</v>
      </c>
      <c r="E126" s="4" t="str">
        <f>HYPERLINK("#'业务数据类型'!A68","HsChar50")</f>
        <v>HsChar50</v>
      </c>
      <c r="F126" s="3" t="s">
        <v>70</v>
      </c>
      <c r="G126" s="6" t="s">
        <v>9</v>
      </c>
      <c r="H126" s="3" t="s">
        <v>9</v>
      </c>
    </row>
    <row r="127" ht="12.75" customHeight="1" spans="2:8">
      <c r="B127" s="5" t="s">
        <v>9</v>
      </c>
      <c r="C127" s="3" t="s">
        <v>142</v>
      </c>
      <c r="D127" s="3" t="s">
        <v>143</v>
      </c>
      <c r="E127" s="4" t="str">
        <f>HYPERLINK("#'业务数据类型'!A68","HsChar50")</f>
        <v>HsChar50</v>
      </c>
      <c r="F127" s="3" t="s">
        <v>70</v>
      </c>
      <c r="G127" s="6" t="s">
        <v>144</v>
      </c>
      <c r="H127" s="3" t="s">
        <v>9</v>
      </c>
    </row>
    <row r="128" ht="12.75" customHeight="1" spans="2:8">
      <c r="B128" s="5" t="s">
        <v>9</v>
      </c>
      <c r="C128" s="3" t="s">
        <v>163</v>
      </c>
      <c r="D128" s="3" t="s">
        <v>164</v>
      </c>
      <c r="E128" s="4" t="str">
        <f>HYPERLINK("#'业务数据类型'!A72","HsChar100")</f>
        <v>HsChar100</v>
      </c>
      <c r="F128" s="3" t="s">
        <v>70</v>
      </c>
      <c r="G128" s="6" t="s">
        <v>9</v>
      </c>
      <c r="H128" s="3" t="s">
        <v>9</v>
      </c>
    </row>
    <row r="129" ht="12.75" customHeight="1" spans="2:7">
      <c r="B129" s="5" t="s">
        <v>81</v>
      </c>
      <c r="C129" s="5" t="s">
        <v>82</v>
      </c>
      <c r="D129" s="5" t="s">
        <v>83</v>
      </c>
      <c r="E129" s="5" t="s">
        <v>84</v>
      </c>
      <c r="F129" s="5" t="s">
        <v>85</v>
      </c>
      <c r="G129" s="5" t="s">
        <v>86</v>
      </c>
    </row>
    <row r="130" ht="12.75" customHeight="1" spans="2:7">
      <c r="B130" s="5" t="s">
        <v>87</v>
      </c>
      <c r="C130" s="5" t="s">
        <v>88</v>
      </c>
      <c r="D130" s="5" t="s">
        <v>5</v>
      </c>
      <c r="E130" s="5" t="s">
        <v>89</v>
      </c>
      <c r="F130" s="5" t="s">
        <v>90</v>
      </c>
      <c r="G130" s="5" t="s">
        <v>91</v>
      </c>
    </row>
    <row r="131" ht="12.75" customHeight="1" spans="2:7">
      <c r="B131" s="5" t="s">
        <v>9</v>
      </c>
      <c r="C131" s="3" t="s">
        <v>165</v>
      </c>
      <c r="D131" s="3" t="s">
        <v>93</v>
      </c>
      <c r="E131" s="3" t="s">
        <v>153</v>
      </c>
      <c r="F131" s="3" t="s">
        <v>9</v>
      </c>
      <c r="G131" s="3" t="s">
        <v>9</v>
      </c>
    </row>
    <row r="132" ht="12.75" customHeight="1" spans="2:7">
      <c r="B132" s="5" t="s">
        <v>94</v>
      </c>
      <c r="C132" s="6" t="s">
        <v>9</v>
      </c>
      <c r="D132" s="6" t="s">
        <v>9</v>
      </c>
      <c r="E132" s="6" t="s">
        <v>9</v>
      </c>
      <c r="F132" s="6" t="s">
        <v>9</v>
      </c>
      <c r="G132" s="6" t="s">
        <v>9</v>
      </c>
    </row>
    <row r="135" ht="12.75" customHeight="1" spans="2:7">
      <c r="B135" s="5" t="s">
        <v>2</v>
      </c>
      <c r="C135" s="3" t="s">
        <v>9</v>
      </c>
      <c r="D135" s="3" t="s">
        <v>9</v>
      </c>
      <c r="E135" s="3" t="s">
        <v>9</v>
      </c>
      <c r="F135" s="5" t="s">
        <v>37</v>
      </c>
      <c r="G135" s="3" t="s">
        <v>9</v>
      </c>
    </row>
    <row r="136" ht="12.75" customHeight="1" spans="2:7">
      <c r="B136" s="5" t="s">
        <v>38</v>
      </c>
      <c r="C136" s="3" t="s">
        <v>166</v>
      </c>
      <c r="D136" s="5" t="s">
        <v>40</v>
      </c>
      <c r="E136" s="3" t="s">
        <v>41</v>
      </c>
      <c r="F136" s="5" t="s">
        <v>42</v>
      </c>
      <c r="G136" s="3" t="s">
        <v>9</v>
      </c>
    </row>
    <row r="137" ht="12.75" customHeight="1" spans="2:7">
      <c r="B137" s="5" t="s">
        <v>43</v>
      </c>
      <c r="C137" s="3" t="s">
        <v>18</v>
      </c>
      <c r="D137" s="5" t="s">
        <v>44</v>
      </c>
      <c r="E137" s="3" t="s">
        <v>45</v>
      </c>
      <c r="F137" s="5" t="s">
        <v>9</v>
      </c>
      <c r="G137" s="3" t="s">
        <v>9</v>
      </c>
    </row>
    <row r="138" ht="12.75" customHeight="1" spans="2:7">
      <c r="B138" s="5" t="s">
        <v>46</v>
      </c>
      <c r="C138" s="3" t="s">
        <v>9</v>
      </c>
      <c r="D138" s="5" t="s">
        <v>47</v>
      </c>
      <c r="E138" s="3" t="s">
        <v>9</v>
      </c>
      <c r="F138" s="5" t="s">
        <v>48</v>
      </c>
      <c r="G138" s="3" t="s">
        <v>9</v>
      </c>
    </row>
    <row r="139" ht="12.75" customHeight="1" spans="2:7">
      <c r="B139" s="5" t="s">
        <v>49</v>
      </c>
      <c r="C139" s="3" t="s">
        <v>45</v>
      </c>
      <c r="D139" s="5" t="s">
        <v>50</v>
      </c>
      <c r="E139" s="3" t="s">
        <v>45</v>
      </c>
      <c r="F139" s="5" t="s">
        <v>51</v>
      </c>
      <c r="G139" s="3" t="s">
        <v>45</v>
      </c>
    </row>
    <row r="140" ht="12.75" customHeight="1" spans="2:7">
      <c r="B140" s="5" t="s">
        <v>52</v>
      </c>
      <c r="C140" s="3" t="s">
        <v>9</v>
      </c>
      <c r="D140" s="5" t="s">
        <v>53</v>
      </c>
      <c r="E140" s="3" t="s">
        <v>9</v>
      </c>
      <c r="F140" s="5" t="s">
        <v>54</v>
      </c>
      <c r="G140" s="3" t="s">
        <v>9</v>
      </c>
    </row>
    <row r="141" ht="12.75" customHeight="1" spans="2:7">
      <c r="B141" s="5" t="s">
        <v>55</v>
      </c>
      <c r="C141" s="3" t="s">
        <v>9</v>
      </c>
      <c r="D141" s="5" t="s">
        <v>56</v>
      </c>
      <c r="E141" s="3" t="s">
        <v>9</v>
      </c>
      <c r="F141" s="5" t="s">
        <v>57</v>
      </c>
      <c r="G141" s="3" t="s">
        <v>9</v>
      </c>
    </row>
    <row r="142" ht="12.75" customHeight="1" spans="2:7">
      <c r="B142" s="5" t="s">
        <v>58</v>
      </c>
      <c r="C142" s="3" t="s">
        <v>9</v>
      </c>
      <c r="D142" s="5" t="s">
        <v>59</v>
      </c>
      <c r="E142" s="3" t="s">
        <v>9</v>
      </c>
      <c r="F142" s="5" t="s">
        <v>9</v>
      </c>
      <c r="G142" s="3" t="s">
        <v>9</v>
      </c>
    </row>
    <row r="143" ht="12.75" customHeight="1" spans="2:7">
      <c r="B143" s="5" t="s">
        <v>6</v>
      </c>
      <c r="C143" s="3" t="s">
        <v>9</v>
      </c>
      <c r="D143" s="3" t="s">
        <v>9</v>
      </c>
      <c r="E143" s="3" t="s">
        <v>9</v>
      </c>
      <c r="F143" s="3" t="s">
        <v>9</v>
      </c>
      <c r="G143" s="3" t="s">
        <v>9</v>
      </c>
    </row>
    <row r="144" ht="12.75" customHeight="1" spans="2:7">
      <c r="B144" s="5" t="s">
        <v>9</v>
      </c>
      <c r="C144" s="3" t="s">
        <v>9</v>
      </c>
      <c r="D144" s="3" t="s">
        <v>9</v>
      </c>
      <c r="E144" s="3" t="s">
        <v>9</v>
      </c>
      <c r="F144" s="3" t="s">
        <v>9</v>
      </c>
      <c r="G144" s="3" t="s">
        <v>9</v>
      </c>
    </row>
    <row r="145" ht="12.75" customHeight="1" spans="2:8">
      <c r="B145" s="5" t="s">
        <v>60</v>
      </c>
      <c r="C145" s="5" t="s">
        <v>61</v>
      </c>
      <c r="D145" s="5" t="s">
        <v>43</v>
      </c>
      <c r="E145" s="5" t="s">
        <v>62</v>
      </c>
      <c r="F145" s="5" t="s">
        <v>63</v>
      </c>
      <c r="G145" s="5" t="s">
        <v>64</v>
      </c>
      <c r="H145" s="5" t="s">
        <v>65</v>
      </c>
    </row>
    <row r="146" ht="12.75" customHeight="1" spans="2:8">
      <c r="B146" s="5" t="s">
        <v>9</v>
      </c>
      <c r="C146" s="3" t="s">
        <v>167</v>
      </c>
      <c r="D146" s="3" t="s">
        <v>168</v>
      </c>
      <c r="E146" s="4" t="str">
        <f>HYPERLINK("#'业务数据类型'!A66","HsChar32")</f>
        <v>HsChar32</v>
      </c>
      <c r="F146" s="3" t="s">
        <v>45</v>
      </c>
      <c r="G146" s="6" t="s">
        <v>9</v>
      </c>
      <c r="H146" s="3" t="s">
        <v>9</v>
      </c>
    </row>
    <row r="147" ht="12.75" customHeight="1" spans="2:8">
      <c r="B147" s="5" t="s">
        <v>9</v>
      </c>
      <c r="C147" s="3" t="s">
        <v>134</v>
      </c>
      <c r="D147" s="3" t="s">
        <v>135</v>
      </c>
      <c r="E147" s="4" t="str">
        <f>HYPERLINK("#'业务数据类型'!A66","HsChar32")</f>
        <v>HsChar32</v>
      </c>
      <c r="F147" s="3" t="s">
        <v>70</v>
      </c>
      <c r="G147" s="6" t="s">
        <v>9</v>
      </c>
      <c r="H147" s="3" t="s">
        <v>9</v>
      </c>
    </row>
    <row r="148" ht="12.75" customHeight="1" spans="2:8">
      <c r="B148" s="5" t="s">
        <v>9</v>
      </c>
      <c r="C148" s="3" t="s">
        <v>73</v>
      </c>
      <c r="D148" s="3" t="s">
        <v>74</v>
      </c>
      <c r="E148" s="4" t="str">
        <f>HYPERLINK("#'业务数据类型'!A40","HsChar10")</f>
        <v>HsChar10</v>
      </c>
      <c r="F148" s="3" t="s">
        <v>70</v>
      </c>
      <c r="G148" s="6" t="s">
        <v>9</v>
      </c>
      <c r="H148" s="3" t="s">
        <v>9</v>
      </c>
    </row>
    <row r="149" ht="12.75" customHeight="1" spans="2:8">
      <c r="B149" s="5" t="s">
        <v>9</v>
      </c>
      <c r="C149" s="3" t="s">
        <v>75</v>
      </c>
      <c r="D149" s="3" t="s">
        <v>76</v>
      </c>
      <c r="E149" s="4" t="str">
        <f>HYPERLINK("#'业务数据类型'!A68","HsChar50")</f>
        <v>HsChar50</v>
      </c>
      <c r="F149" s="3" t="s">
        <v>70</v>
      </c>
      <c r="G149" s="6" t="s">
        <v>9</v>
      </c>
      <c r="H149" s="3" t="s">
        <v>9</v>
      </c>
    </row>
    <row r="150" ht="12.75" customHeight="1" spans="2:8">
      <c r="B150" s="5" t="s">
        <v>9</v>
      </c>
      <c r="C150" s="3" t="s">
        <v>77</v>
      </c>
      <c r="D150" s="3" t="s">
        <v>78</v>
      </c>
      <c r="E150" s="4" t="str">
        <f>HYPERLINK("#'业务数据类型'!A68","HsChar50")</f>
        <v>HsChar50</v>
      </c>
      <c r="F150" s="3" t="s">
        <v>70</v>
      </c>
      <c r="G150" s="6" t="s">
        <v>9</v>
      </c>
      <c r="H150" s="3" t="s">
        <v>9</v>
      </c>
    </row>
    <row r="151" ht="12.75" customHeight="1" spans="2:8">
      <c r="B151" s="5" t="s">
        <v>9</v>
      </c>
      <c r="C151" s="3" t="s">
        <v>79</v>
      </c>
      <c r="D151" s="3" t="s">
        <v>80</v>
      </c>
      <c r="E151" s="4" t="str">
        <f>HYPERLINK("#'业务数据类型'!A68","HsChar50")</f>
        <v>HsChar50</v>
      </c>
      <c r="F151" s="3" t="s">
        <v>70</v>
      </c>
      <c r="G151" s="6" t="s">
        <v>9</v>
      </c>
      <c r="H151" s="3" t="s">
        <v>9</v>
      </c>
    </row>
    <row r="152" ht="12.75" customHeight="1" spans="2:7">
      <c r="B152" s="5" t="s">
        <v>81</v>
      </c>
      <c r="C152" s="5" t="s">
        <v>82</v>
      </c>
      <c r="D152" s="5" t="s">
        <v>83</v>
      </c>
      <c r="E152" s="5" t="s">
        <v>84</v>
      </c>
      <c r="F152" s="5" t="s">
        <v>85</v>
      </c>
      <c r="G152" s="5" t="s">
        <v>86</v>
      </c>
    </row>
    <row r="153" ht="12.75" customHeight="1" spans="2:7">
      <c r="B153" s="5" t="s">
        <v>87</v>
      </c>
      <c r="C153" s="5" t="s">
        <v>88</v>
      </c>
      <c r="D153" s="5" t="s">
        <v>5</v>
      </c>
      <c r="E153" s="5" t="s">
        <v>89</v>
      </c>
      <c r="F153" s="5" t="s">
        <v>90</v>
      </c>
      <c r="G153" s="5" t="s">
        <v>91</v>
      </c>
    </row>
    <row r="154" ht="12.75" customHeight="1" spans="2:7">
      <c r="B154" s="5" t="s">
        <v>9</v>
      </c>
      <c r="C154" s="3" t="s">
        <v>169</v>
      </c>
      <c r="D154" s="3" t="s">
        <v>93</v>
      </c>
      <c r="E154" s="3" t="s">
        <v>167</v>
      </c>
      <c r="F154" s="3" t="s">
        <v>9</v>
      </c>
      <c r="G154" s="3" t="s">
        <v>9</v>
      </c>
    </row>
    <row r="155" ht="12.75" customHeight="1" spans="2:7">
      <c r="B155" s="5" t="s">
        <v>94</v>
      </c>
      <c r="C155" s="6" t="s">
        <v>9</v>
      </c>
      <c r="D155" s="6" t="s">
        <v>9</v>
      </c>
      <c r="E155" s="6" t="s">
        <v>9</v>
      </c>
      <c r="F155" s="6" t="s">
        <v>9</v>
      </c>
      <c r="G155" s="6" t="s">
        <v>9</v>
      </c>
    </row>
    <row r="158" ht="12.75" customHeight="1" spans="2:7">
      <c r="B158" s="5" t="s">
        <v>2</v>
      </c>
      <c r="C158" s="3" t="s">
        <v>9</v>
      </c>
      <c r="D158" s="3" t="s">
        <v>9</v>
      </c>
      <c r="E158" s="3" t="s">
        <v>9</v>
      </c>
      <c r="F158" s="5" t="s">
        <v>37</v>
      </c>
      <c r="G158" s="3" t="s">
        <v>9</v>
      </c>
    </row>
    <row r="159" ht="12.75" customHeight="1" spans="2:7">
      <c r="B159" s="5" t="s">
        <v>38</v>
      </c>
      <c r="C159" s="3" t="s">
        <v>170</v>
      </c>
      <c r="D159" s="5" t="s">
        <v>40</v>
      </c>
      <c r="E159" s="3" t="s">
        <v>41</v>
      </c>
      <c r="F159" s="5" t="s">
        <v>42</v>
      </c>
      <c r="G159" s="3" t="s">
        <v>9</v>
      </c>
    </row>
    <row r="160" ht="12.75" customHeight="1" spans="2:7">
      <c r="B160" s="5" t="s">
        <v>43</v>
      </c>
      <c r="C160" s="3" t="s">
        <v>19</v>
      </c>
      <c r="D160" s="5" t="s">
        <v>44</v>
      </c>
      <c r="E160" s="3" t="s">
        <v>45</v>
      </c>
      <c r="F160" s="5" t="s">
        <v>9</v>
      </c>
      <c r="G160" s="3" t="s">
        <v>9</v>
      </c>
    </row>
    <row r="161" ht="12.75" customHeight="1" spans="2:7">
      <c r="B161" s="5" t="s">
        <v>46</v>
      </c>
      <c r="C161" s="3" t="s">
        <v>9</v>
      </c>
      <c r="D161" s="5" t="s">
        <v>47</v>
      </c>
      <c r="E161" s="3" t="s">
        <v>9</v>
      </c>
      <c r="F161" s="5" t="s">
        <v>48</v>
      </c>
      <c r="G161" s="3" t="s">
        <v>9</v>
      </c>
    </row>
    <row r="162" ht="12.75" customHeight="1" spans="2:7">
      <c r="B162" s="5" t="s">
        <v>49</v>
      </c>
      <c r="C162" s="3" t="s">
        <v>45</v>
      </c>
      <c r="D162" s="5" t="s">
        <v>50</v>
      </c>
      <c r="E162" s="3" t="s">
        <v>45</v>
      </c>
      <c r="F162" s="5" t="s">
        <v>51</v>
      </c>
      <c r="G162" s="3" t="s">
        <v>45</v>
      </c>
    </row>
    <row r="163" ht="12.75" customHeight="1" spans="2:7">
      <c r="B163" s="5" t="s">
        <v>52</v>
      </c>
      <c r="C163" s="3" t="s">
        <v>9</v>
      </c>
      <c r="D163" s="5" t="s">
        <v>53</v>
      </c>
      <c r="E163" s="3" t="s">
        <v>9</v>
      </c>
      <c r="F163" s="5" t="s">
        <v>54</v>
      </c>
      <c r="G163" s="3" t="s">
        <v>9</v>
      </c>
    </row>
    <row r="164" ht="12.75" customHeight="1" spans="2:7">
      <c r="B164" s="5" t="s">
        <v>55</v>
      </c>
      <c r="C164" s="3" t="s">
        <v>9</v>
      </c>
      <c r="D164" s="5" t="s">
        <v>56</v>
      </c>
      <c r="E164" s="3" t="s">
        <v>9</v>
      </c>
      <c r="F164" s="5" t="s">
        <v>57</v>
      </c>
      <c r="G164" s="3" t="s">
        <v>9</v>
      </c>
    </row>
    <row r="165" ht="12.75" customHeight="1" spans="2:7">
      <c r="B165" s="5" t="s">
        <v>58</v>
      </c>
      <c r="C165" s="3" t="s">
        <v>9</v>
      </c>
      <c r="D165" s="5" t="s">
        <v>59</v>
      </c>
      <c r="E165" s="3" t="s">
        <v>9</v>
      </c>
      <c r="F165" s="5" t="s">
        <v>9</v>
      </c>
      <c r="G165" s="3" t="s">
        <v>9</v>
      </c>
    </row>
    <row r="166" ht="12.75" customHeight="1" spans="2:7">
      <c r="B166" s="5" t="s">
        <v>6</v>
      </c>
      <c r="C166" s="3" t="s">
        <v>9</v>
      </c>
      <c r="D166" s="3" t="s">
        <v>9</v>
      </c>
      <c r="E166" s="3" t="s">
        <v>9</v>
      </c>
      <c r="F166" s="3" t="s">
        <v>9</v>
      </c>
      <c r="G166" s="3" t="s">
        <v>9</v>
      </c>
    </row>
    <row r="167" ht="12.75" customHeight="1" spans="2:7">
      <c r="B167" s="5" t="s">
        <v>9</v>
      </c>
      <c r="C167" s="3" t="s">
        <v>9</v>
      </c>
      <c r="D167" s="3" t="s">
        <v>9</v>
      </c>
      <c r="E167" s="3" t="s">
        <v>9</v>
      </c>
      <c r="F167" s="3" t="s">
        <v>9</v>
      </c>
      <c r="G167" s="3" t="s">
        <v>9</v>
      </c>
    </row>
    <row r="168" ht="12.75" customHeight="1" spans="2:8">
      <c r="B168" s="5" t="s">
        <v>60</v>
      </c>
      <c r="C168" s="5" t="s">
        <v>61</v>
      </c>
      <c r="D168" s="5" t="s">
        <v>43</v>
      </c>
      <c r="E168" s="5" t="s">
        <v>62</v>
      </c>
      <c r="F168" s="5" t="s">
        <v>63</v>
      </c>
      <c r="G168" s="5" t="s">
        <v>64</v>
      </c>
      <c r="H168" s="5" t="s">
        <v>65</v>
      </c>
    </row>
    <row r="169" ht="12.75" customHeight="1" spans="2:8">
      <c r="B169" s="5" t="s">
        <v>9</v>
      </c>
      <c r="C169" s="3" t="s">
        <v>134</v>
      </c>
      <c r="D169" s="3" t="s">
        <v>135</v>
      </c>
      <c r="E169" s="4" t="str">
        <f>HYPERLINK("#'业务数据类型'!A66","HsChar32")</f>
        <v>HsChar32</v>
      </c>
      <c r="F169" s="3" t="s">
        <v>45</v>
      </c>
      <c r="G169" s="6" t="s">
        <v>9</v>
      </c>
      <c r="H169" s="3" t="s">
        <v>9</v>
      </c>
    </row>
    <row r="170" ht="12.75" customHeight="1" spans="2:8">
      <c r="B170" s="5" t="s">
        <v>9</v>
      </c>
      <c r="C170" s="3" t="s">
        <v>171</v>
      </c>
      <c r="D170" s="3" t="s">
        <v>172</v>
      </c>
      <c r="E170" s="4" t="str">
        <f>HYPERLINK("#'业务数据类型'!A68","HsChar50")</f>
        <v>HsChar50</v>
      </c>
      <c r="F170" s="3" t="s">
        <v>70</v>
      </c>
      <c r="G170" s="6" t="s">
        <v>9</v>
      </c>
      <c r="H170" s="3" t="s">
        <v>9</v>
      </c>
    </row>
    <row r="171" ht="12.75" customHeight="1" spans="2:8">
      <c r="B171" s="5" t="s">
        <v>9</v>
      </c>
      <c r="C171" s="3" t="s">
        <v>173</v>
      </c>
      <c r="D171" s="3" t="s">
        <v>174</v>
      </c>
      <c r="E171" s="4" t="str">
        <f>HYPERLINK("#'业务数据类型'!A66","HsChar32")</f>
        <v>HsChar32</v>
      </c>
      <c r="F171" s="3" t="s">
        <v>70</v>
      </c>
      <c r="G171" s="6" t="s">
        <v>9</v>
      </c>
      <c r="H171" s="3" t="s">
        <v>9</v>
      </c>
    </row>
    <row r="172" ht="12.75" customHeight="1" spans="2:8">
      <c r="B172" s="5" t="s">
        <v>9</v>
      </c>
      <c r="C172" s="3" t="s">
        <v>75</v>
      </c>
      <c r="D172" s="3" t="s">
        <v>76</v>
      </c>
      <c r="E172" s="4" t="str">
        <f>HYPERLINK("#'业务数据类型'!A68","HsChar50")</f>
        <v>HsChar50</v>
      </c>
      <c r="F172" s="3" t="s">
        <v>70</v>
      </c>
      <c r="G172" s="6" t="s">
        <v>9</v>
      </c>
      <c r="H172" s="3" t="s">
        <v>9</v>
      </c>
    </row>
    <row r="173" ht="12.75" customHeight="1" spans="2:8">
      <c r="B173" s="5" t="s">
        <v>9</v>
      </c>
      <c r="C173" s="3" t="s">
        <v>77</v>
      </c>
      <c r="D173" s="3" t="s">
        <v>78</v>
      </c>
      <c r="E173" s="4" t="str">
        <f>HYPERLINK("#'业务数据类型'!A68","HsChar50")</f>
        <v>HsChar50</v>
      </c>
      <c r="F173" s="3" t="s">
        <v>70</v>
      </c>
      <c r="G173" s="6" t="s">
        <v>9</v>
      </c>
      <c r="H173" s="3" t="s">
        <v>9</v>
      </c>
    </row>
    <row r="174" ht="12.75" customHeight="1" spans="2:8">
      <c r="B174" s="5" t="s">
        <v>9</v>
      </c>
      <c r="C174" s="3" t="s">
        <v>79</v>
      </c>
      <c r="D174" s="3" t="s">
        <v>80</v>
      </c>
      <c r="E174" s="4" t="str">
        <f>HYPERLINK("#'业务数据类型'!A68","HsChar50")</f>
        <v>HsChar50</v>
      </c>
      <c r="F174" s="3" t="s">
        <v>70</v>
      </c>
      <c r="G174" s="6" t="s">
        <v>9</v>
      </c>
      <c r="H174" s="3" t="s">
        <v>9</v>
      </c>
    </row>
    <row r="175" ht="12.75" customHeight="1" spans="2:7">
      <c r="B175" s="5" t="s">
        <v>81</v>
      </c>
      <c r="C175" s="5" t="s">
        <v>82</v>
      </c>
      <c r="D175" s="5" t="s">
        <v>83</v>
      </c>
      <c r="E175" s="5" t="s">
        <v>84</v>
      </c>
      <c r="F175" s="5" t="s">
        <v>85</v>
      </c>
      <c r="G175" s="5" t="s">
        <v>86</v>
      </c>
    </row>
    <row r="176" ht="12.75" customHeight="1" spans="2:7">
      <c r="B176" s="5" t="s">
        <v>87</v>
      </c>
      <c r="C176" s="5" t="s">
        <v>88</v>
      </c>
      <c r="D176" s="5" t="s">
        <v>5</v>
      </c>
      <c r="E176" s="5" t="s">
        <v>89</v>
      </c>
      <c r="F176" s="5" t="s">
        <v>90</v>
      </c>
      <c r="G176" s="5" t="s">
        <v>91</v>
      </c>
    </row>
    <row r="177" ht="12.75" customHeight="1" spans="2:7">
      <c r="B177" s="5" t="s">
        <v>9</v>
      </c>
      <c r="C177" s="3" t="s">
        <v>175</v>
      </c>
      <c r="D177" s="3" t="s">
        <v>93</v>
      </c>
      <c r="E177" s="3" t="s">
        <v>134</v>
      </c>
      <c r="F177" s="3" t="s">
        <v>9</v>
      </c>
      <c r="G177" s="3" t="s">
        <v>9</v>
      </c>
    </row>
    <row r="178" ht="12.75" customHeight="1" spans="2:7">
      <c r="B178" s="5" t="s">
        <v>94</v>
      </c>
      <c r="C178" s="6" t="s">
        <v>9</v>
      </c>
      <c r="D178" s="6" t="s">
        <v>9</v>
      </c>
      <c r="E178" s="6" t="s">
        <v>9</v>
      </c>
      <c r="F178" s="6" t="s">
        <v>9</v>
      </c>
      <c r="G178" s="6" t="s">
        <v>9</v>
      </c>
    </row>
    <row r="181" ht="12.75" customHeight="1" spans="2:7">
      <c r="B181" s="5" t="s">
        <v>2</v>
      </c>
      <c r="C181" s="3" t="s">
        <v>9</v>
      </c>
      <c r="D181" s="3" t="s">
        <v>9</v>
      </c>
      <c r="E181" s="3" t="s">
        <v>9</v>
      </c>
      <c r="F181" s="5" t="s">
        <v>37</v>
      </c>
      <c r="G181" s="3" t="s">
        <v>9</v>
      </c>
    </row>
    <row r="182" ht="12.75" customHeight="1" spans="2:7">
      <c r="B182" s="5" t="s">
        <v>38</v>
      </c>
      <c r="C182" s="3" t="s">
        <v>176</v>
      </c>
      <c r="D182" s="5" t="s">
        <v>40</v>
      </c>
      <c r="E182" s="3" t="s">
        <v>41</v>
      </c>
      <c r="F182" s="5" t="s">
        <v>42</v>
      </c>
      <c r="G182" s="3" t="s">
        <v>9</v>
      </c>
    </row>
    <row r="183" ht="12.75" customHeight="1" spans="2:7">
      <c r="B183" s="5" t="s">
        <v>43</v>
      </c>
      <c r="C183" s="3" t="s">
        <v>20</v>
      </c>
      <c r="D183" s="5" t="s">
        <v>44</v>
      </c>
      <c r="E183" s="3" t="s">
        <v>45</v>
      </c>
      <c r="F183" s="5" t="s">
        <v>9</v>
      </c>
      <c r="G183" s="3" t="s">
        <v>9</v>
      </c>
    </row>
    <row r="184" ht="12.75" customHeight="1" spans="2:7">
      <c r="B184" s="5" t="s">
        <v>46</v>
      </c>
      <c r="C184" s="3" t="s">
        <v>9</v>
      </c>
      <c r="D184" s="5" t="s">
        <v>47</v>
      </c>
      <c r="E184" s="3" t="s">
        <v>9</v>
      </c>
      <c r="F184" s="5" t="s">
        <v>48</v>
      </c>
      <c r="G184" s="3" t="s">
        <v>9</v>
      </c>
    </row>
    <row r="185" ht="12.75" customHeight="1" spans="2:7">
      <c r="B185" s="5" t="s">
        <v>49</v>
      </c>
      <c r="C185" s="3" t="s">
        <v>45</v>
      </c>
      <c r="D185" s="5" t="s">
        <v>50</v>
      </c>
      <c r="E185" s="3" t="s">
        <v>45</v>
      </c>
      <c r="F185" s="5" t="s">
        <v>51</v>
      </c>
      <c r="G185" s="3" t="s">
        <v>45</v>
      </c>
    </row>
    <row r="186" ht="12.75" customHeight="1" spans="2:7">
      <c r="B186" s="5" t="s">
        <v>52</v>
      </c>
      <c r="C186" s="3" t="s">
        <v>9</v>
      </c>
      <c r="D186" s="5" t="s">
        <v>53</v>
      </c>
      <c r="E186" s="3" t="s">
        <v>9</v>
      </c>
      <c r="F186" s="5" t="s">
        <v>54</v>
      </c>
      <c r="G186" s="3" t="s">
        <v>9</v>
      </c>
    </row>
    <row r="187" ht="12.75" customHeight="1" spans="2:7">
      <c r="B187" s="5" t="s">
        <v>55</v>
      </c>
      <c r="C187" s="3" t="s">
        <v>9</v>
      </c>
      <c r="D187" s="5" t="s">
        <v>56</v>
      </c>
      <c r="E187" s="3" t="s">
        <v>9</v>
      </c>
      <c r="F187" s="5" t="s">
        <v>57</v>
      </c>
      <c r="G187" s="3" t="s">
        <v>9</v>
      </c>
    </row>
    <row r="188" ht="12.75" customHeight="1" spans="2:7">
      <c r="B188" s="5" t="s">
        <v>58</v>
      </c>
      <c r="C188" s="3" t="s">
        <v>9</v>
      </c>
      <c r="D188" s="5" t="s">
        <v>59</v>
      </c>
      <c r="E188" s="3" t="s">
        <v>9</v>
      </c>
      <c r="F188" s="5" t="s">
        <v>9</v>
      </c>
      <c r="G188" s="3" t="s">
        <v>9</v>
      </c>
    </row>
    <row r="189" ht="12.75" customHeight="1" spans="2:7">
      <c r="B189" s="5" t="s">
        <v>6</v>
      </c>
      <c r="C189" s="3" t="s">
        <v>9</v>
      </c>
      <c r="D189" s="3" t="s">
        <v>9</v>
      </c>
      <c r="E189" s="3" t="s">
        <v>9</v>
      </c>
      <c r="F189" s="3" t="s">
        <v>9</v>
      </c>
      <c r="G189" s="3" t="s">
        <v>9</v>
      </c>
    </row>
    <row r="190" ht="12.75" customHeight="1" spans="2:7">
      <c r="B190" s="5" t="s">
        <v>9</v>
      </c>
      <c r="C190" s="3" t="s">
        <v>9</v>
      </c>
      <c r="D190" s="3" t="s">
        <v>9</v>
      </c>
      <c r="E190" s="3" t="s">
        <v>9</v>
      </c>
      <c r="F190" s="3" t="s">
        <v>9</v>
      </c>
      <c r="G190" s="3" t="s">
        <v>9</v>
      </c>
    </row>
    <row r="191" ht="12.75" customHeight="1" spans="2:8">
      <c r="B191" s="5" t="s">
        <v>60</v>
      </c>
      <c r="C191" s="5" t="s">
        <v>61</v>
      </c>
      <c r="D191" s="5" t="s">
        <v>43</v>
      </c>
      <c r="E191" s="5" t="s">
        <v>62</v>
      </c>
      <c r="F191" s="5" t="s">
        <v>63</v>
      </c>
      <c r="G191" s="5" t="s">
        <v>64</v>
      </c>
      <c r="H191" s="5" t="s">
        <v>65</v>
      </c>
    </row>
    <row r="192" ht="12.75" customHeight="1" spans="2:8">
      <c r="B192" s="5" t="s">
        <v>9</v>
      </c>
      <c r="C192" s="3" t="s">
        <v>177</v>
      </c>
      <c r="D192" s="3" t="s">
        <v>178</v>
      </c>
      <c r="E192" s="4" t="str">
        <f>HYPERLINK("#'业务数据类型'!A68","HsChar50")</f>
        <v>HsChar50</v>
      </c>
      <c r="F192" s="3" t="s">
        <v>45</v>
      </c>
      <c r="G192" s="6" t="s">
        <v>9</v>
      </c>
      <c r="H192" s="3" t="s">
        <v>9</v>
      </c>
    </row>
    <row r="193" ht="12.75" customHeight="1" spans="2:8">
      <c r="B193" s="5" t="s">
        <v>9</v>
      </c>
      <c r="C193" s="3" t="s">
        <v>96</v>
      </c>
      <c r="D193" s="3" t="s">
        <v>97</v>
      </c>
      <c r="E193" s="4" t="str">
        <f>HYPERLINK("#'业务数据类型'!A66","HsChar32")</f>
        <v>HsChar32</v>
      </c>
      <c r="F193" s="3" t="s">
        <v>70</v>
      </c>
      <c r="G193" s="6" t="s">
        <v>9</v>
      </c>
      <c r="H193" s="3" t="s">
        <v>9</v>
      </c>
    </row>
    <row r="194" ht="12.75" customHeight="1" spans="2:8">
      <c r="B194" s="5" t="s">
        <v>9</v>
      </c>
      <c r="C194" s="3" t="s">
        <v>142</v>
      </c>
      <c r="D194" s="3" t="s">
        <v>143</v>
      </c>
      <c r="E194" s="4" t="str">
        <f>HYPERLINK("#'业务数据类型'!A68","HsChar50")</f>
        <v>HsChar50</v>
      </c>
      <c r="F194" s="3" t="s">
        <v>70</v>
      </c>
      <c r="G194" s="6" t="s">
        <v>144</v>
      </c>
      <c r="H194" s="3" t="s">
        <v>9</v>
      </c>
    </row>
    <row r="195" ht="12.75" customHeight="1" spans="2:8">
      <c r="B195" s="5" t="s">
        <v>9</v>
      </c>
      <c r="C195" s="3" t="s">
        <v>71</v>
      </c>
      <c r="D195" s="3" t="s">
        <v>72</v>
      </c>
      <c r="E195" s="4" t="str">
        <f>HYPERLINK("#'业务数据类型'!A81","HsChar500")</f>
        <v>HsChar500</v>
      </c>
      <c r="F195" s="3" t="s">
        <v>70</v>
      </c>
      <c r="G195" s="6" t="s">
        <v>9</v>
      </c>
      <c r="H195" s="3" t="s">
        <v>9</v>
      </c>
    </row>
    <row r="196" ht="12.75" customHeight="1" spans="2:8">
      <c r="B196" s="5" t="s">
        <v>9</v>
      </c>
      <c r="C196" s="3" t="s">
        <v>179</v>
      </c>
      <c r="D196" s="3" t="s">
        <v>180</v>
      </c>
      <c r="E196" s="4" t="str">
        <f>HYPERLINK("#'业务数据类型'!A52","HsChar20")</f>
        <v>HsChar20</v>
      </c>
      <c r="F196" s="3" t="s">
        <v>70</v>
      </c>
      <c r="G196" s="6" t="s">
        <v>9</v>
      </c>
      <c r="H196" s="3" t="s">
        <v>9</v>
      </c>
    </row>
    <row r="197" ht="12.75" customHeight="1" spans="2:8">
      <c r="B197" s="5" t="s">
        <v>9</v>
      </c>
      <c r="C197" s="3" t="s">
        <v>181</v>
      </c>
      <c r="D197" s="3" t="s">
        <v>182</v>
      </c>
      <c r="E197" s="4" t="str">
        <f>HYPERLINK("#'业务数据类型'!A107","HsDateTime")</f>
        <v>HsDateTime</v>
      </c>
      <c r="F197" s="3" t="s">
        <v>70</v>
      </c>
      <c r="G197" s="6" t="s">
        <v>9</v>
      </c>
      <c r="H197" s="3" t="s">
        <v>9</v>
      </c>
    </row>
    <row r="198" ht="12.75" customHeight="1" spans="2:8">
      <c r="B198" s="5" t="s">
        <v>9</v>
      </c>
      <c r="C198" s="3" t="s">
        <v>183</v>
      </c>
      <c r="D198" s="3" t="s">
        <v>184</v>
      </c>
      <c r="E198" s="4" t="str">
        <f>HYPERLINK("#'业务数据类型'!A77","HsChar200")</f>
        <v>HsChar200</v>
      </c>
      <c r="F198" s="3" t="s">
        <v>70</v>
      </c>
      <c r="G198" s="6" t="s">
        <v>9</v>
      </c>
      <c r="H198" s="3" t="s">
        <v>9</v>
      </c>
    </row>
    <row r="199" ht="12.75" customHeight="1" spans="2:8">
      <c r="B199" s="5" t="s">
        <v>9</v>
      </c>
      <c r="C199" s="3" t="s">
        <v>185</v>
      </c>
      <c r="D199" s="3" t="s">
        <v>64</v>
      </c>
      <c r="E199" s="4" t="str">
        <f>HYPERLINK("#'业务数据类型'!A82","HsAbstract")</f>
        <v>HsAbstract</v>
      </c>
      <c r="F199" s="3" t="s">
        <v>70</v>
      </c>
      <c r="G199" s="6" t="s">
        <v>110</v>
      </c>
      <c r="H199" s="3" t="s">
        <v>9</v>
      </c>
    </row>
    <row r="200" ht="12.75" customHeight="1" spans="2:8">
      <c r="B200" s="5" t="s">
        <v>9</v>
      </c>
      <c r="C200" s="3" t="s">
        <v>186</v>
      </c>
      <c r="D200" s="3" t="s">
        <v>187</v>
      </c>
      <c r="E200" s="4" t="str">
        <f>HYPERLINK("#'业务数据类型'!A68","HsChar50")</f>
        <v>HsChar50</v>
      </c>
      <c r="F200" s="3" t="s">
        <v>70</v>
      </c>
      <c r="G200" s="6" t="s">
        <v>9</v>
      </c>
      <c r="H200" s="3" t="s">
        <v>9</v>
      </c>
    </row>
    <row r="201" ht="12.75" customHeight="1" spans="2:8">
      <c r="B201" s="5" t="s">
        <v>9</v>
      </c>
      <c r="C201" s="3" t="s">
        <v>188</v>
      </c>
      <c r="D201" s="3" t="s">
        <v>189</v>
      </c>
      <c r="E201" s="4" t="str">
        <f>HYPERLINK("#'业务数据类型'!A72","HsChar100")</f>
        <v>HsChar100</v>
      </c>
      <c r="F201" s="3" t="s">
        <v>70</v>
      </c>
      <c r="G201" s="6" t="s">
        <v>9</v>
      </c>
      <c r="H201" s="3" t="s">
        <v>9</v>
      </c>
    </row>
    <row r="202" ht="12.75" customHeight="1" spans="2:8">
      <c r="B202" s="5" t="s">
        <v>9</v>
      </c>
      <c r="C202" s="3" t="s">
        <v>190</v>
      </c>
      <c r="D202" s="3" t="s">
        <v>191</v>
      </c>
      <c r="E202" s="4" t="str">
        <f>HYPERLINK("#'业务数据类型'!A107","HsDateTime")</f>
        <v>HsDateTime</v>
      </c>
      <c r="F202" s="3" t="s">
        <v>70</v>
      </c>
      <c r="G202" s="6" t="s">
        <v>9</v>
      </c>
      <c r="H202" s="3" t="s">
        <v>9</v>
      </c>
    </row>
    <row r="203" ht="12.75" customHeight="1" spans="2:8">
      <c r="B203" s="5" t="s">
        <v>9</v>
      </c>
      <c r="C203" s="3" t="s">
        <v>192</v>
      </c>
      <c r="D203" s="3" t="s">
        <v>193</v>
      </c>
      <c r="E203" s="4" t="str">
        <f>HYPERLINK("#'业务数据类型'!A107","HsDateTime")</f>
        <v>HsDateTime</v>
      </c>
      <c r="F203" s="3" t="s">
        <v>70</v>
      </c>
      <c r="G203" s="6" t="s">
        <v>9</v>
      </c>
      <c r="H203" s="3" t="s">
        <v>9</v>
      </c>
    </row>
    <row r="204" ht="12.75" customHeight="1" spans="2:8">
      <c r="B204" s="5" t="s">
        <v>9</v>
      </c>
      <c r="C204" s="3" t="s">
        <v>194</v>
      </c>
      <c r="D204" s="3" t="s">
        <v>195</v>
      </c>
      <c r="E204" s="4" t="str">
        <f>HYPERLINK("#'业务数据类型'!A68","HsChar50")</f>
        <v>HsChar50</v>
      </c>
      <c r="F204" s="3" t="s">
        <v>70</v>
      </c>
      <c r="G204" s="6" t="s">
        <v>9</v>
      </c>
      <c r="H204" s="3" t="s">
        <v>9</v>
      </c>
    </row>
    <row r="205" ht="12.75" customHeight="1" spans="2:8">
      <c r="B205" s="5" t="s">
        <v>9</v>
      </c>
      <c r="C205" s="3" t="s">
        <v>140</v>
      </c>
      <c r="D205" s="3" t="s">
        <v>141</v>
      </c>
      <c r="E205" s="4" t="str">
        <f>HYPERLINK("#'业务数据类型'!A72","HsChar100")</f>
        <v>HsChar100</v>
      </c>
      <c r="F205" s="3" t="s">
        <v>70</v>
      </c>
      <c r="G205" s="6" t="s">
        <v>9</v>
      </c>
      <c r="H205" s="3" t="s">
        <v>9</v>
      </c>
    </row>
    <row r="206" ht="12.75" customHeight="1" spans="2:8">
      <c r="B206" s="5" t="s">
        <v>9</v>
      </c>
      <c r="C206" s="3" t="s">
        <v>161</v>
      </c>
      <c r="D206" s="3" t="s">
        <v>162</v>
      </c>
      <c r="E206" s="4" t="str">
        <f>HYPERLINK("#'业务数据类型'!A68","HsChar50")</f>
        <v>HsChar50</v>
      </c>
      <c r="F206" s="3" t="s">
        <v>70</v>
      </c>
      <c r="G206" s="6" t="s">
        <v>9</v>
      </c>
      <c r="H206" s="3" t="s">
        <v>9</v>
      </c>
    </row>
    <row r="207" ht="12.75" customHeight="1" spans="2:8">
      <c r="B207" s="5" t="s">
        <v>9</v>
      </c>
      <c r="C207" s="3" t="s">
        <v>196</v>
      </c>
      <c r="D207" s="3" t="s">
        <v>197</v>
      </c>
      <c r="E207" s="4" t="str">
        <f>HYPERLINK("#'业务数据类型'!A107","HsDateTime")</f>
        <v>HsDateTime</v>
      </c>
      <c r="F207" s="3" t="s">
        <v>70</v>
      </c>
      <c r="G207" s="6" t="s">
        <v>9</v>
      </c>
      <c r="H207" s="3" t="s">
        <v>9</v>
      </c>
    </row>
    <row r="208" ht="12.75" customHeight="1" spans="2:8">
      <c r="B208" s="5" t="s">
        <v>9</v>
      </c>
      <c r="C208" s="3" t="s">
        <v>198</v>
      </c>
      <c r="D208" s="3" t="s">
        <v>199</v>
      </c>
      <c r="E208" s="4" t="str">
        <f>HYPERLINK("#'业务数据类型'!A83","HsChar1000")</f>
        <v>HsChar1000</v>
      </c>
      <c r="F208" s="3" t="s">
        <v>70</v>
      </c>
      <c r="G208" s="6" t="s">
        <v>9</v>
      </c>
      <c r="H208" s="3" t="s">
        <v>9</v>
      </c>
    </row>
    <row r="209" ht="12.75" customHeight="1" spans="2:8">
      <c r="B209" s="5" t="s">
        <v>9</v>
      </c>
      <c r="C209" s="3" t="s">
        <v>200</v>
      </c>
      <c r="D209" s="3" t="s">
        <v>201</v>
      </c>
      <c r="E209" s="4" t="str">
        <f>HYPERLINK("#'业务数据类型'!A35","HsChar5")</f>
        <v>HsChar5</v>
      </c>
      <c r="F209" s="3" t="s">
        <v>70</v>
      </c>
      <c r="G209" s="6" t="s">
        <v>202</v>
      </c>
      <c r="H209" s="3" t="s">
        <v>9</v>
      </c>
    </row>
    <row r="210" ht="12.75" customHeight="1" spans="2:7">
      <c r="B210" s="5" t="s">
        <v>81</v>
      </c>
      <c r="C210" s="5" t="s">
        <v>82</v>
      </c>
      <c r="D210" s="5" t="s">
        <v>83</v>
      </c>
      <c r="E210" s="5" t="s">
        <v>84</v>
      </c>
      <c r="F210" s="5" t="s">
        <v>85</v>
      </c>
      <c r="G210" s="5" t="s">
        <v>86</v>
      </c>
    </row>
    <row r="211" ht="12.75" customHeight="1" spans="2:7">
      <c r="B211" s="5" t="s">
        <v>87</v>
      </c>
      <c r="C211" s="5" t="s">
        <v>88</v>
      </c>
      <c r="D211" s="5" t="s">
        <v>5</v>
      </c>
      <c r="E211" s="5" t="s">
        <v>89</v>
      </c>
      <c r="F211" s="5" t="s">
        <v>90</v>
      </c>
      <c r="G211" s="5" t="s">
        <v>91</v>
      </c>
    </row>
    <row r="212" ht="12.75" customHeight="1" spans="2:7">
      <c r="B212" s="5" t="s">
        <v>9</v>
      </c>
      <c r="C212" s="3" t="s">
        <v>203</v>
      </c>
      <c r="D212" s="3" t="s">
        <v>93</v>
      </c>
      <c r="E212" s="3" t="s">
        <v>177</v>
      </c>
      <c r="F212" s="3" t="s">
        <v>9</v>
      </c>
      <c r="G212" s="3" t="s">
        <v>9</v>
      </c>
    </row>
    <row r="213" ht="12.75" customHeight="1" spans="2:7">
      <c r="B213" s="5" t="s">
        <v>94</v>
      </c>
      <c r="C213" s="6" t="s">
        <v>9</v>
      </c>
      <c r="D213" s="6" t="s">
        <v>9</v>
      </c>
      <c r="E213" s="6" t="s">
        <v>9</v>
      </c>
      <c r="F213" s="6" t="s">
        <v>9</v>
      </c>
      <c r="G213" s="6" t="s">
        <v>9</v>
      </c>
    </row>
    <row r="216" ht="12.75" customHeight="1" spans="2:7">
      <c r="B216" s="5" t="s">
        <v>2</v>
      </c>
      <c r="C216" s="3" t="s">
        <v>9</v>
      </c>
      <c r="D216" s="3" t="s">
        <v>9</v>
      </c>
      <c r="E216" s="3" t="s">
        <v>9</v>
      </c>
      <c r="F216" s="5" t="s">
        <v>37</v>
      </c>
      <c r="G216" s="3" t="s">
        <v>9</v>
      </c>
    </row>
    <row r="217" ht="12.75" customHeight="1" spans="2:7">
      <c r="B217" s="5" t="s">
        <v>38</v>
      </c>
      <c r="C217" s="3" t="s">
        <v>204</v>
      </c>
      <c r="D217" s="5" t="s">
        <v>40</v>
      </c>
      <c r="E217" s="3" t="s">
        <v>41</v>
      </c>
      <c r="F217" s="5" t="s">
        <v>42</v>
      </c>
      <c r="G217" s="3" t="s">
        <v>9</v>
      </c>
    </row>
    <row r="218" ht="12.75" customHeight="1" spans="2:7">
      <c r="B218" s="5" t="s">
        <v>43</v>
      </c>
      <c r="C218" s="3" t="s">
        <v>21</v>
      </c>
      <c r="D218" s="5" t="s">
        <v>44</v>
      </c>
      <c r="E218" s="3" t="s">
        <v>45</v>
      </c>
      <c r="F218" s="5" t="s">
        <v>9</v>
      </c>
      <c r="G218" s="3" t="s">
        <v>9</v>
      </c>
    </row>
    <row r="219" ht="12.75" customHeight="1" spans="2:7">
      <c r="B219" s="5" t="s">
        <v>46</v>
      </c>
      <c r="C219" s="3" t="s">
        <v>9</v>
      </c>
      <c r="D219" s="5" t="s">
        <v>47</v>
      </c>
      <c r="E219" s="3" t="s">
        <v>9</v>
      </c>
      <c r="F219" s="5" t="s">
        <v>48</v>
      </c>
      <c r="G219" s="3" t="s">
        <v>9</v>
      </c>
    </row>
    <row r="220" ht="12.75" customHeight="1" spans="2:7">
      <c r="B220" s="5" t="s">
        <v>49</v>
      </c>
      <c r="C220" s="3" t="s">
        <v>45</v>
      </c>
      <c r="D220" s="5" t="s">
        <v>50</v>
      </c>
      <c r="E220" s="3" t="s">
        <v>45</v>
      </c>
      <c r="F220" s="5" t="s">
        <v>51</v>
      </c>
      <c r="G220" s="3" t="s">
        <v>45</v>
      </c>
    </row>
    <row r="221" ht="12.75" customHeight="1" spans="2:7">
      <c r="B221" s="5" t="s">
        <v>52</v>
      </c>
      <c r="C221" s="3" t="s">
        <v>9</v>
      </c>
      <c r="D221" s="5" t="s">
        <v>53</v>
      </c>
      <c r="E221" s="3" t="s">
        <v>9</v>
      </c>
      <c r="F221" s="5" t="s">
        <v>54</v>
      </c>
      <c r="G221" s="3" t="s">
        <v>9</v>
      </c>
    </row>
    <row r="222" ht="12.75" customHeight="1" spans="2:7">
      <c r="B222" s="5" t="s">
        <v>55</v>
      </c>
      <c r="C222" s="3" t="s">
        <v>9</v>
      </c>
      <c r="D222" s="5" t="s">
        <v>56</v>
      </c>
      <c r="E222" s="3" t="s">
        <v>9</v>
      </c>
      <c r="F222" s="5" t="s">
        <v>57</v>
      </c>
      <c r="G222" s="3" t="s">
        <v>9</v>
      </c>
    </row>
    <row r="223" ht="12.75" customHeight="1" spans="2:7">
      <c r="B223" s="5" t="s">
        <v>58</v>
      </c>
      <c r="C223" s="3" t="s">
        <v>9</v>
      </c>
      <c r="D223" s="5" t="s">
        <v>59</v>
      </c>
      <c r="E223" s="3" t="s">
        <v>9</v>
      </c>
      <c r="F223" s="5" t="s">
        <v>9</v>
      </c>
      <c r="G223" s="3" t="s">
        <v>9</v>
      </c>
    </row>
    <row r="224" ht="12.75" customHeight="1" spans="2:7">
      <c r="B224" s="5" t="s">
        <v>6</v>
      </c>
      <c r="C224" s="3" t="s">
        <v>9</v>
      </c>
      <c r="D224" s="3" t="s">
        <v>9</v>
      </c>
      <c r="E224" s="3" t="s">
        <v>9</v>
      </c>
      <c r="F224" s="3" t="s">
        <v>9</v>
      </c>
      <c r="G224" s="3" t="s">
        <v>9</v>
      </c>
    </row>
    <row r="225" ht="12.75" customHeight="1" spans="2:7">
      <c r="B225" s="5" t="s">
        <v>9</v>
      </c>
      <c r="C225" s="3" t="s">
        <v>9</v>
      </c>
      <c r="D225" s="3" t="s">
        <v>9</v>
      </c>
      <c r="E225" s="3" t="s">
        <v>9</v>
      </c>
      <c r="F225" s="3" t="s">
        <v>9</v>
      </c>
      <c r="G225" s="3" t="s">
        <v>9</v>
      </c>
    </row>
    <row r="226" ht="12.75" customHeight="1" spans="2:8">
      <c r="B226" s="5" t="s">
        <v>60</v>
      </c>
      <c r="C226" s="5" t="s">
        <v>61</v>
      </c>
      <c r="D226" s="5" t="s">
        <v>43</v>
      </c>
      <c r="E226" s="5" t="s">
        <v>62</v>
      </c>
      <c r="F226" s="5" t="s">
        <v>63</v>
      </c>
      <c r="G226" s="5" t="s">
        <v>64</v>
      </c>
      <c r="H226" s="5" t="s">
        <v>65</v>
      </c>
    </row>
    <row r="227" ht="12.75" customHeight="1" spans="2:8">
      <c r="B227" s="5" t="s">
        <v>9</v>
      </c>
      <c r="C227" s="3" t="s">
        <v>167</v>
      </c>
      <c r="D227" s="3" t="s">
        <v>168</v>
      </c>
      <c r="E227" s="4" t="str">
        <f>HYPERLINK("#'业务数据类型'!A66","HsChar32")</f>
        <v>HsChar32</v>
      </c>
      <c r="F227" s="3" t="s">
        <v>45</v>
      </c>
      <c r="G227" s="6" t="s">
        <v>9</v>
      </c>
      <c r="H227" s="3" t="s">
        <v>9</v>
      </c>
    </row>
    <row r="228" ht="12.75" customHeight="1" spans="2:8">
      <c r="B228" s="5" t="s">
        <v>9</v>
      </c>
      <c r="C228" s="3" t="s">
        <v>205</v>
      </c>
      <c r="D228" s="3" t="s">
        <v>206</v>
      </c>
      <c r="E228" s="4" t="str">
        <f>HYPERLINK("#'业务数据类型'!A68","HsChar50")</f>
        <v>HsChar50</v>
      </c>
      <c r="F228" s="3" t="s">
        <v>70</v>
      </c>
      <c r="G228" s="6" t="s">
        <v>9</v>
      </c>
      <c r="H228" s="3" t="s">
        <v>9</v>
      </c>
    </row>
    <row r="229" ht="12.75" customHeight="1" spans="2:8">
      <c r="B229" s="5" t="s">
        <v>9</v>
      </c>
      <c r="C229" s="3" t="s">
        <v>207</v>
      </c>
      <c r="D229" s="3" t="s">
        <v>208</v>
      </c>
      <c r="E229" s="4" t="str">
        <f>HYPERLINK("#'业务数据类型'!A68","HsChar50")</f>
        <v>HsChar50</v>
      </c>
      <c r="F229" s="3" t="s">
        <v>70</v>
      </c>
      <c r="G229" s="6" t="s">
        <v>9</v>
      </c>
      <c r="H229" s="3" t="s">
        <v>9</v>
      </c>
    </row>
    <row r="230" ht="12.75" customHeight="1" spans="2:8">
      <c r="B230" s="5" t="s">
        <v>9</v>
      </c>
      <c r="C230" s="3" t="s">
        <v>209</v>
      </c>
      <c r="D230" s="3" t="s">
        <v>210</v>
      </c>
      <c r="E230" s="4" t="str">
        <f>HYPERLINK("#'业务数据类型'!A66","HsChar32")</f>
        <v>HsChar32</v>
      </c>
      <c r="F230" s="3" t="s">
        <v>70</v>
      </c>
      <c r="G230" s="6" t="s">
        <v>9</v>
      </c>
      <c r="H230" s="3" t="s">
        <v>9</v>
      </c>
    </row>
    <row r="231" ht="12.75" customHeight="1" spans="2:8">
      <c r="B231" s="5" t="s">
        <v>9</v>
      </c>
      <c r="C231" s="3" t="s">
        <v>211</v>
      </c>
      <c r="D231" s="3" t="s">
        <v>212</v>
      </c>
      <c r="E231" s="4" t="str">
        <f>HYPERLINK("#'业务数据类型'!A105","Hsnum16")</f>
        <v>Hsnum16</v>
      </c>
      <c r="F231" s="3" t="s">
        <v>70</v>
      </c>
      <c r="G231" s="6" t="s">
        <v>9</v>
      </c>
      <c r="H231" s="3" t="s">
        <v>9</v>
      </c>
    </row>
    <row r="232" ht="12.75" customHeight="1" spans="2:8">
      <c r="B232" s="5" t="s">
        <v>9</v>
      </c>
      <c r="C232" s="3" t="s">
        <v>213</v>
      </c>
      <c r="D232" s="3" t="s">
        <v>214</v>
      </c>
      <c r="E232" s="4" t="str">
        <f>HYPERLINK("#'业务数据类型'!A40","HsChar10")</f>
        <v>HsChar10</v>
      </c>
      <c r="F232" s="3" t="s">
        <v>70</v>
      </c>
      <c r="G232" s="6" t="s">
        <v>215</v>
      </c>
      <c r="H232" s="3" t="s">
        <v>9</v>
      </c>
    </row>
    <row r="233" ht="12.75" customHeight="1" spans="2:8">
      <c r="B233" s="5" t="s">
        <v>9</v>
      </c>
      <c r="C233" s="3" t="s">
        <v>117</v>
      </c>
      <c r="D233" s="3" t="s">
        <v>118</v>
      </c>
      <c r="E233" s="4" t="str">
        <f>HYPERLINK("#'业务数据类型'!A68","HsChar50")</f>
        <v>HsChar50</v>
      </c>
      <c r="F233" s="3" t="s">
        <v>70</v>
      </c>
      <c r="G233" s="6" t="s">
        <v>9</v>
      </c>
      <c r="H233" s="3" t="s">
        <v>9</v>
      </c>
    </row>
    <row r="234" ht="12.75" customHeight="1" spans="2:8">
      <c r="B234" s="5" t="s">
        <v>9</v>
      </c>
      <c r="C234" s="3" t="s">
        <v>119</v>
      </c>
      <c r="D234" s="3" t="s">
        <v>120</v>
      </c>
      <c r="E234" s="4" t="str">
        <f>HYPERLINK("#'业务数据类型'!A107","HsDateTime")</f>
        <v>HsDateTime</v>
      </c>
      <c r="F234" s="3" t="s">
        <v>70</v>
      </c>
      <c r="G234" s="6" t="s">
        <v>9</v>
      </c>
      <c r="H234" s="3" t="s">
        <v>9</v>
      </c>
    </row>
    <row r="235" ht="12.75" customHeight="1" spans="2:8">
      <c r="B235" s="5" t="s">
        <v>9</v>
      </c>
      <c r="C235" s="3" t="s">
        <v>121</v>
      </c>
      <c r="D235" s="3" t="s">
        <v>122</v>
      </c>
      <c r="E235" s="4" t="str">
        <f>HYPERLINK("#'业务数据类型'!A68","HsChar50")</f>
        <v>HsChar50</v>
      </c>
      <c r="F235" s="3" t="s">
        <v>70</v>
      </c>
      <c r="G235" s="6" t="s">
        <v>9</v>
      </c>
      <c r="H235" s="3" t="s">
        <v>9</v>
      </c>
    </row>
    <row r="236" ht="12.75" customHeight="1" spans="2:8">
      <c r="B236" s="5" t="s">
        <v>9</v>
      </c>
      <c r="C236" s="3" t="s">
        <v>123</v>
      </c>
      <c r="D236" s="3" t="s">
        <v>124</v>
      </c>
      <c r="E236" s="4" t="str">
        <f>HYPERLINK("#'业务数据类型'!A107","HsDateTime")</f>
        <v>HsDateTime</v>
      </c>
      <c r="F236" s="3" t="s">
        <v>70</v>
      </c>
      <c r="G236" s="6" t="s">
        <v>9</v>
      </c>
      <c r="H236" s="3" t="s">
        <v>9</v>
      </c>
    </row>
    <row r="237" ht="12.75" customHeight="1" spans="2:7">
      <c r="B237" s="5" t="s">
        <v>81</v>
      </c>
      <c r="C237" s="5" t="s">
        <v>82</v>
      </c>
      <c r="D237" s="5" t="s">
        <v>83</v>
      </c>
      <c r="E237" s="5" t="s">
        <v>84</v>
      </c>
      <c r="F237" s="5" t="s">
        <v>85</v>
      </c>
      <c r="G237" s="5" t="s">
        <v>86</v>
      </c>
    </row>
    <row r="238" ht="12.75" customHeight="1" spans="2:7">
      <c r="B238" s="5" t="s">
        <v>87</v>
      </c>
      <c r="C238" s="5" t="s">
        <v>88</v>
      </c>
      <c r="D238" s="5" t="s">
        <v>5</v>
      </c>
      <c r="E238" s="5" t="s">
        <v>89</v>
      </c>
      <c r="F238" s="5" t="s">
        <v>90</v>
      </c>
      <c r="G238" s="5" t="s">
        <v>91</v>
      </c>
    </row>
    <row r="239" ht="12.75" customHeight="1" spans="2:7">
      <c r="B239" s="5" t="s">
        <v>9</v>
      </c>
      <c r="C239" s="3" t="s">
        <v>216</v>
      </c>
      <c r="D239" s="3" t="s">
        <v>93</v>
      </c>
      <c r="E239" s="3" t="s">
        <v>167</v>
      </c>
      <c r="F239" s="3" t="s">
        <v>9</v>
      </c>
      <c r="G239" s="3" t="s">
        <v>9</v>
      </c>
    </row>
    <row r="240" ht="12.75" customHeight="1" spans="2:7">
      <c r="B240" s="5" t="s">
        <v>94</v>
      </c>
      <c r="C240" s="6" t="s">
        <v>9</v>
      </c>
      <c r="D240" s="6" t="s">
        <v>9</v>
      </c>
      <c r="E240" s="6" t="s">
        <v>9</v>
      </c>
      <c r="F240" s="6" t="s">
        <v>9</v>
      </c>
      <c r="G240" s="6" t="s">
        <v>9</v>
      </c>
    </row>
    <row r="243" ht="12.75" customHeight="1" spans="2:7">
      <c r="B243" s="5" t="s">
        <v>2</v>
      </c>
      <c r="C243" s="3" t="s">
        <v>9</v>
      </c>
      <c r="D243" s="3" t="s">
        <v>9</v>
      </c>
      <c r="E243" s="3" t="s">
        <v>9</v>
      </c>
      <c r="F243" s="5" t="s">
        <v>37</v>
      </c>
      <c r="G243" s="3" t="s">
        <v>9</v>
      </c>
    </row>
    <row r="244" ht="12.75" customHeight="1" spans="2:7">
      <c r="B244" s="5" t="s">
        <v>38</v>
      </c>
      <c r="C244" s="3" t="s">
        <v>217</v>
      </c>
      <c r="D244" s="5" t="s">
        <v>40</v>
      </c>
      <c r="E244" s="3" t="s">
        <v>41</v>
      </c>
      <c r="F244" s="5" t="s">
        <v>42</v>
      </c>
      <c r="G244" s="3" t="s">
        <v>9</v>
      </c>
    </row>
    <row r="245" ht="12.75" customHeight="1" spans="2:7">
      <c r="B245" s="5" t="s">
        <v>43</v>
      </c>
      <c r="C245" s="3" t="s">
        <v>22</v>
      </c>
      <c r="D245" s="5" t="s">
        <v>44</v>
      </c>
      <c r="E245" s="3" t="s">
        <v>45</v>
      </c>
      <c r="F245" s="5" t="s">
        <v>9</v>
      </c>
      <c r="G245" s="3" t="s">
        <v>9</v>
      </c>
    </row>
    <row r="246" ht="12.75" customHeight="1" spans="2:7">
      <c r="B246" s="5" t="s">
        <v>46</v>
      </c>
      <c r="C246" s="3" t="s">
        <v>9</v>
      </c>
      <c r="D246" s="5" t="s">
        <v>47</v>
      </c>
      <c r="E246" s="3" t="s">
        <v>9</v>
      </c>
      <c r="F246" s="5" t="s">
        <v>48</v>
      </c>
      <c r="G246" s="3" t="s">
        <v>9</v>
      </c>
    </row>
    <row r="247" ht="12.75" customHeight="1" spans="2:7">
      <c r="B247" s="5" t="s">
        <v>49</v>
      </c>
      <c r="C247" s="3" t="s">
        <v>45</v>
      </c>
      <c r="D247" s="5" t="s">
        <v>50</v>
      </c>
      <c r="E247" s="3" t="s">
        <v>45</v>
      </c>
      <c r="F247" s="5" t="s">
        <v>51</v>
      </c>
      <c r="G247" s="3" t="s">
        <v>45</v>
      </c>
    </row>
    <row r="248" ht="12.75" customHeight="1" spans="2:7">
      <c r="B248" s="5" t="s">
        <v>52</v>
      </c>
      <c r="C248" s="3" t="s">
        <v>9</v>
      </c>
      <c r="D248" s="5" t="s">
        <v>53</v>
      </c>
      <c r="E248" s="3" t="s">
        <v>9</v>
      </c>
      <c r="F248" s="5" t="s">
        <v>54</v>
      </c>
      <c r="G248" s="3" t="s">
        <v>9</v>
      </c>
    </row>
    <row r="249" ht="12.75" customHeight="1" spans="2:7">
      <c r="B249" s="5" t="s">
        <v>55</v>
      </c>
      <c r="C249" s="3" t="s">
        <v>9</v>
      </c>
      <c r="D249" s="5" t="s">
        <v>56</v>
      </c>
      <c r="E249" s="3" t="s">
        <v>9</v>
      </c>
      <c r="F249" s="5" t="s">
        <v>57</v>
      </c>
      <c r="G249" s="3" t="s">
        <v>9</v>
      </c>
    </row>
    <row r="250" ht="12.75" customHeight="1" spans="2:7">
      <c r="B250" s="5" t="s">
        <v>58</v>
      </c>
      <c r="C250" s="3" t="s">
        <v>9</v>
      </c>
      <c r="D250" s="5" t="s">
        <v>59</v>
      </c>
      <c r="E250" s="3" t="s">
        <v>9</v>
      </c>
      <c r="F250" s="5" t="s">
        <v>9</v>
      </c>
      <c r="G250" s="3" t="s">
        <v>9</v>
      </c>
    </row>
    <row r="251" ht="12.75" customHeight="1" spans="2:7">
      <c r="B251" s="5" t="s">
        <v>6</v>
      </c>
      <c r="C251" s="3" t="s">
        <v>9</v>
      </c>
      <c r="D251" s="3" t="s">
        <v>9</v>
      </c>
      <c r="E251" s="3" t="s">
        <v>9</v>
      </c>
      <c r="F251" s="3" t="s">
        <v>9</v>
      </c>
      <c r="G251" s="3" t="s">
        <v>9</v>
      </c>
    </row>
    <row r="252" ht="12.75" customHeight="1" spans="2:7">
      <c r="B252" s="5" t="s">
        <v>9</v>
      </c>
      <c r="C252" s="3" t="s">
        <v>9</v>
      </c>
      <c r="D252" s="3" t="s">
        <v>9</v>
      </c>
      <c r="E252" s="3" t="s">
        <v>9</v>
      </c>
      <c r="F252" s="3" t="s">
        <v>9</v>
      </c>
      <c r="G252" s="3" t="s">
        <v>9</v>
      </c>
    </row>
    <row r="253" ht="12.75" customHeight="1" spans="2:8">
      <c r="B253" s="5" t="s">
        <v>60</v>
      </c>
      <c r="C253" s="5" t="s">
        <v>61</v>
      </c>
      <c r="D253" s="5" t="s">
        <v>43</v>
      </c>
      <c r="E253" s="5" t="s">
        <v>62</v>
      </c>
      <c r="F253" s="5" t="s">
        <v>63</v>
      </c>
      <c r="G253" s="5" t="s">
        <v>64</v>
      </c>
      <c r="H253" s="5" t="s">
        <v>65</v>
      </c>
    </row>
    <row r="254" ht="12.75" customHeight="1" spans="2:8">
      <c r="B254" s="5" t="s">
        <v>9</v>
      </c>
      <c r="C254" s="3" t="s">
        <v>167</v>
      </c>
      <c r="D254" s="3" t="s">
        <v>168</v>
      </c>
      <c r="E254" s="4" t="str">
        <f>HYPERLINK("#'业务数据类型'!A66","HsChar32")</f>
        <v>HsChar32</v>
      </c>
      <c r="F254" s="3" t="s">
        <v>45</v>
      </c>
      <c r="G254" s="6" t="s">
        <v>9</v>
      </c>
      <c r="H254" s="3" t="s">
        <v>9</v>
      </c>
    </row>
    <row r="255" ht="12.75" customHeight="1" spans="2:8">
      <c r="B255" s="5" t="s">
        <v>9</v>
      </c>
      <c r="C255" s="3" t="s">
        <v>218</v>
      </c>
      <c r="D255" s="3" t="s">
        <v>219</v>
      </c>
      <c r="E255" s="4" t="str">
        <f>HYPERLINK("#'业务数据类型'!A66","HsChar32")</f>
        <v>HsChar32</v>
      </c>
      <c r="F255" s="3" t="s">
        <v>70</v>
      </c>
      <c r="G255" s="6" t="s">
        <v>9</v>
      </c>
      <c r="H255" s="3" t="s">
        <v>9</v>
      </c>
    </row>
    <row r="256" ht="12.75" customHeight="1" spans="2:8">
      <c r="B256" s="5" t="s">
        <v>9</v>
      </c>
      <c r="C256" s="3" t="s">
        <v>220</v>
      </c>
      <c r="D256" s="3" t="s">
        <v>221</v>
      </c>
      <c r="E256" s="4" t="str">
        <f>HYPERLINK("#'业务数据类型'!A66","HsChar32")</f>
        <v>HsChar32</v>
      </c>
      <c r="F256" s="3" t="s">
        <v>70</v>
      </c>
      <c r="G256" s="6" t="s">
        <v>9</v>
      </c>
      <c r="H256" s="3" t="s">
        <v>9</v>
      </c>
    </row>
    <row r="257" ht="12.75" customHeight="1" spans="2:8">
      <c r="B257" s="5" t="s">
        <v>9</v>
      </c>
      <c r="C257" s="3" t="s">
        <v>185</v>
      </c>
      <c r="D257" s="3" t="s">
        <v>64</v>
      </c>
      <c r="E257" s="4" t="str">
        <f>HYPERLINK("#'业务数据类型'!A82","HsAbstract")</f>
        <v>HsAbstract</v>
      </c>
      <c r="F257" s="3" t="s">
        <v>70</v>
      </c>
      <c r="G257" s="6" t="s">
        <v>110</v>
      </c>
      <c r="H257" s="3" t="s">
        <v>9</v>
      </c>
    </row>
    <row r="258" ht="12.75" customHeight="1" spans="2:8">
      <c r="B258" s="5" t="s">
        <v>9</v>
      </c>
      <c r="C258" s="3" t="s">
        <v>222</v>
      </c>
      <c r="D258" s="3" t="s">
        <v>223</v>
      </c>
      <c r="E258" s="4" t="str">
        <f>HYPERLINK("#'业务数据类型'!A83","HsChar1000")</f>
        <v>HsChar1000</v>
      </c>
      <c r="F258" s="3" t="s">
        <v>70</v>
      </c>
      <c r="G258" s="6" t="s">
        <v>224</v>
      </c>
      <c r="H258" s="3" t="s">
        <v>9</v>
      </c>
    </row>
    <row r="259" ht="12.75" customHeight="1" spans="2:8">
      <c r="B259" s="5" t="s">
        <v>9</v>
      </c>
      <c r="C259" s="3" t="s">
        <v>225</v>
      </c>
      <c r="D259" s="3" t="s">
        <v>226</v>
      </c>
      <c r="E259" s="4" t="str">
        <f>HYPERLINK("#'业务数据类型'!A83","HsChar1000")</f>
        <v>HsChar1000</v>
      </c>
      <c r="F259" s="3" t="s">
        <v>70</v>
      </c>
      <c r="G259" s="6" t="s">
        <v>110</v>
      </c>
      <c r="H259" s="3" t="s">
        <v>9</v>
      </c>
    </row>
    <row r="260" ht="12.75" customHeight="1" spans="2:7">
      <c r="B260" s="5" t="s">
        <v>81</v>
      </c>
      <c r="C260" s="5" t="s">
        <v>82</v>
      </c>
      <c r="D260" s="5" t="s">
        <v>83</v>
      </c>
      <c r="E260" s="5" t="s">
        <v>84</v>
      </c>
      <c r="F260" s="5" t="s">
        <v>85</v>
      </c>
      <c r="G260" s="5" t="s">
        <v>86</v>
      </c>
    </row>
    <row r="261" ht="12.75" customHeight="1" spans="2:7">
      <c r="B261" s="5" t="s">
        <v>87</v>
      </c>
      <c r="C261" s="5" t="s">
        <v>88</v>
      </c>
      <c r="D261" s="5" t="s">
        <v>5</v>
      </c>
      <c r="E261" s="5" t="s">
        <v>89</v>
      </c>
      <c r="F261" s="5" t="s">
        <v>90</v>
      </c>
      <c r="G261" s="5" t="s">
        <v>91</v>
      </c>
    </row>
    <row r="262" ht="12.75" customHeight="1" spans="2:7">
      <c r="B262" s="5" t="s">
        <v>9</v>
      </c>
      <c r="C262" s="3" t="s">
        <v>227</v>
      </c>
      <c r="D262" s="3" t="s">
        <v>93</v>
      </c>
      <c r="E262" s="3" t="s">
        <v>167</v>
      </c>
      <c r="F262" s="3" t="s">
        <v>9</v>
      </c>
      <c r="G262" s="3" t="s">
        <v>9</v>
      </c>
    </row>
    <row r="263" ht="12.75" customHeight="1" spans="2:7">
      <c r="B263" s="5" t="s">
        <v>94</v>
      </c>
      <c r="C263" s="6" t="s">
        <v>9</v>
      </c>
      <c r="D263" s="6" t="s">
        <v>9</v>
      </c>
      <c r="E263" s="6" t="s">
        <v>9</v>
      </c>
      <c r="F263" s="6" t="s">
        <v>9</v>
      </c>
      <c r="G263" s="6" t="s">
        <v>9</v>
      </c>
    </row>
    <row r="266" ht="12.75" customHeight="1" spans="2:7">
      <c r="B266" s="5" t="s">
        <v>2</v>
      </c>
      <c r="C266" s="3" t="s">
        <v>9</v>
      </c>
      <c r="D266" s="3" t="s">
        <v>9</v>
      </c>
      <c r="E266" s="3" t="s">
        <v>9</v>
      </c>
      <c r="F266" s="5" t="s">
        <v>37</v>
      </c>
      <c r="G266" s="3" t="s">
        <v>9</v>
      </c>
    </row>
    <row r="267" ht="12.75" customHeight="1" spans="2:7">
      <c r="B267" s="5" t="s">
        <v>38</v>
      </c>
      <c r="C267" s="3" t="s">
        <v>228</v>
      </c>
      <c r="D267" s="5" t="s">
        <v>40</v>
      </c>
      <c r="E267" s="3" t="s">
        <v>41</v>
      </c>
      <c r="F267" s="5" t="s">
        <v>42</v>
      </c>
      <c r="G267" s="3" t="s">
        <v>9</v>
      </c>
    </row>
    <row r="268" ht="12.75" customHeight="1" spans="2:7">
      <c r="B268" s="5" t="s">
        <v>43</v>
      </c>
      <c r="C268" s="3" t="s">
        <v>23</v>
      </c>
      <c r="D268" s="5" t="s">
        <v>44</v>
      </c>
      <c r="E268" s="3" t="s">
        <v>45</v>
      </c>
      <c r="F268" s="5" t="s">
        <v>9</v>
      </c>
      <c r="G268" s="3" t="s">
        <v>9</v>
      </c>
    </row>
    <row r="269" ht="12.75" customHeight="1" spans="2:7">
      <c r="B269" s="5" t="s">
        <v>46</v>
      </c>
      <c r="C269" s="3" t="s">
        <v>9</v>
      </c>
      <c r="D269" s="5" t="s">
        <v>47</v>
      </c>
      <c r="E269" s="3" t="s">
        <v>9</v>
      </c>
      <c r="F269" s="5" t="s">
        <v>48</v>
      </c>
      <c r="G269" s="3" t="s">
        <v>9</v>
      </c>
    </row>
    <row r="270" ht="12.75" customHeight="1" spans="2:7">
      <c r="B270" s="5" t="s">
        <v>49</v>
      </c>
      <c r="C270" s="3" t="s">
        <v>45</v>
      </c>
      <c r="D270" s="5" t="s">
        <v>50</v>
      </c>
      <c r="E270" s="3" t="s">
        <v>45</v>
      </c>
      <c r="F270" s="5" t="s">
        <v>51</v>
      </c>
      <c r="G270" s="3" t="s">
        <v>45</v>
      </c>
    </row>
    <row r="271" ht="12.75" customHeight="1" spans="2:7">
      <c r="B271" s="5" t="s">
        <v>52</v>
      </c>
      <c r="C271" s="3" t="s">
        <v>9</v>
      </c>
      <c r="D271" s="5" t="s">
        <v>53</v>
      </c>
      <c r="E271" s="3" t="s">
        <v>9</v>
      </c>
      <c r="F271" s="5" t="s">
        <v>54</v>
      </c>
      <c r="G271" s="3" t="s">
        <v>9</v>
      </c>
    </row>
    <row r="272" ht="12.75" customHeight="1" spans="2:7">
      <c r="B272" s="5" t="s">
        <v>55</v>
      </c>
      <c r="C272" s="3" t="s">
        <v>9</v>
      </c>
      <c r="D272" s="5" t="s">
        <v>56</v>
      </c>
      <c r="E272" s="3" t="s">
        <v>9</v>
      </c>
      <c r="F272" s="5" t="s">
        <v>57</v>
      </c>
      <c r="G272" s="3" t="s">
        <v>9</v>
      </c>
    </row>
    <row r="273" ht="12.75" customHeight="1" spans="2:7">
      <c r="B273" s="5" t="s">
        <v>58</v>
      </c>
      <c r="C273" s="3" t="s">
        <v>9</v>
      </c>
      <c r="D273" s="5" t="s">
        <v>59</v>
      </c>
      <c r="E273" s="3" t="s">
        <v>9</v>
      </c>
      <c r="F273" s="5" t="s">
        <v>9</v>
      </c>
      <c r="G273" s="3" t="s">
        <v>9</v>
      </c>
    </row>
    <row r="274" ht="12.75" customHeight="1" spans="2:7">
      <c r="B274" s="5" t="s">
        <v>6</v>
      </c>
      <c r="C274" s="3" t="s">
        <v>9</v>
      </c>
      <c r="D274" s="3" t="s">
        <v>9</v>
      </c>
      <c r="E274" s="3" t="s">
        <v>9</v>
      </c>
      <c r="F274" s="3" t="s">
        <v>9</v>
      </c>
      <c r="G274" s="3" t="s">
        <v>9</v>
      </c>
    </row>
    <row r="275" ht="12.75" customHeight="1" spans="2:7">
      <c r="B275" s="5" t="s">
        <v>9</v>
      </c>
      <c r="C275" s="3" t="s">
        <v>9</v>
      </c>
      <c r="D275" s="3" t="s">
        <v>9</v>
      </c>
      <c r="E275" s="3" t="s">
        <v>9</v>
      </c>
      <c r="F275" s="3" t="s">
        <v>9</v>
      </c>
      <c r="G275" s="3" t="s">
        <v>9</v>
      </c>
    </row>
    <row r="276" ht="12.75" customHeight="1" spans="2:8">
      <c r="B276" s="5" t="s">
        <v>60</v>
      </c>
      <c r="C276" s="5" t="s">
        <v>61</v>
      </c>
      <c r="D276" s="5" t="s">
        <v>43</v>
      </c>
      <c r="E276" s="5" t="s">
        <v>62</v>
      </c>
      <c r="F276" s="5" t="s">
        <v>63</v>
      </c>
      <c r="G276" s="5" t="s">
        <v>64</v>
      </c>
      <c r="H276" s="5" t="s">
        <v>65</v>
      </c>
    </row>
    <row r="277" ht="12.75" customHeight="1" spans="2:8">
      <c r="B277" s="5" t="s">
        <v>9</v>
      </c>
      <c r="C277" s="3" t="s">
        <v>218</v>
      </c>
      <c r="D277" s="3" t="s">
        <v>219</v>
      </c>
      <c r="E277" s="4" t="str">
        <f>HYPERLINK("#'业务数据类型'!A66","HsChar32")</f>
        <v>HsChar32</v>
      </c>
      <c r="F277" s="3" t="s">
        <v>45</v>
      </c>
      <c r="G277" s="6" t="s">
        <v>9</v>
      </c>
      <c r="H277" s="3" t="s">
        <v>9</v>
      </c>
    </row>
    <row r="278" ht="12.75" customHeight="1" spans="2:8">
      <c r="B278" s="5" t="s">
        <v>9</v>
      </c>
      <c r="C278" s="3" t="s">
        <v>229</v>
      </c>
      <c r="D278" s="3" t="s">
        <v>230</v>
      </c>
      <c r="E278" s="4" t="str">
        <f>HYPERLINK("#'业务数据类型'!A68","HsChar50")</f>
        <v>HsChar50</v>
      </c>
      <c r="F278" s="3" t="s">
        <v>70</v>
      </c>
      <c r="G278" s="6" t="s">
        <v>9</v>
      </c>
      <c r="H278" s="3" t="s">
        <v>9</v>
      </c>
    </row>
    <row r="279" ht="12.75" customHeight="1" spans="2:8">
      <c r="B279" s="5" t="s">
        <v>9</v>
      </c>
      <c r="C279" s="3" t="s">
        <v>231</v>
      </c>
      <c r="D279" s="3" t="s">
        <v>232</v>
      </c>
      <c r="E279" s="4" t="str">
        <f>HYPERLINK("#'业务数据类型'!A68","HsChar50")</f>
        <v>HsChar50</v>
      </c>
      <c r="F279" s="3" t="s">
        <v>70</v>
      </c>
      <c r="G279" s="6" t="s">
        <v>9</v>
      </c>
      <c r="H279" s="3" t="s">
        <v>9</v>
      </c>
    </row>
    <row r="280" ht="12.75" customHeight="1" spans="2:8">
      <c r="B280" s="5" t="s">
        <v>9</v>
      </c>
      <c r="C280" s="3" t="s">
        <v>233</v>
      </c>
      <c r="D280" s="3" t="s">
        <v>234</v>
      </c>
      <c r="E280" s="4" t="str">
        <f>HYPERLINK("#'业务数据类型'!A68","HsChar50")</f>
        <v>HsChar50</v>
      </c>
      <c r="F280" s="3" t="s">
        <v>70</v>
      </c>
      <c r="G280" s="6" t="s">
        <v>9</v>
      </c>
      <c r="H280" s="3" t="s">
        <v>9</v>
      </c>
    </row>
    <row r="281" ht="12.75" customHeight="1" spans="2:8">
      <c r="B281" s="5" t="s">
        <v>9</v>
      </c>
      <c r="C281" s="3" t="s">
        <v>235</v>
      </c>
      <c r="D281" s="3" t="s">
        <v>236</v>
      </c>
      <c r="E281" s="4" t="str">
        <f>HYPERLINK("#'业务数据类型'!A72","HsChar100")</f>
        <v>HsChar100</v>
      </c>
      <c r="F281" s="3" t="s">
        <v>70</v>
      </c>
      <c r="G281" s="6" t="s">
        <v>9</v>
      </c>
      <c r="H281" s="3" t="s">
        <v>9</v>
      </c>
    </row>
    <row r="282" ht="12.75" customHeight="1" spans="2:8">
      <c r="B282" s="5" t="s">
        <v>9</v>
      </c>
      <c r="C282" s="3" t="s">
        <v>237</v>
      </c>
      <c r="D282" s="3" t="s">
        <v>238</v>
      </c>
      <c r="E282" s="4" t="str">
        <f>HYPERLINK("#'业务数据类型'!A40","HsChar10")</f>
        <v>HsChar10</v>
      </c>
      <c r="F282" s="3" t="s">
        <v>70</v>
      </c>
      <c r="G282" s="6" t="s">
        <v>239</v>
      </c>
      <c r="H282" s="3" t="s">
        <v>9</v>
      </c>
    </row>
    <row r="283" ht="12.75" customHeight="1" spans="2:8">
      <c r="B283" s="5" t="s">
        <v>9</v>
      </c>
      <c r="C283" s="3" t="s">
        <v>240</v>
      </c>
      <c r="D283" s="3" t="s">
        <v>241</v>
      </c>
      <c r="E283" s="4" t="str">
        <f>HYPERLINK("#'业务数据类型'!A7","HsStatus")</f>
        <v>HsStatus</v>
      </c>
      <c r="F283" s="3" t="s">
        <v>70</v>
      </c>
      <c r="G283" s="6" t="s">
        <v>242</v>
      </c>
      <c r="H283" s="3" t="s">
        <v>9</v>
      </c>
    </row>
    <row r="284" ht="12.75" customHeight="1" spans="2:8">
      <c r="B284" s="5" t="s">
        <v>9</v>
      </c>
      <c r="C284" s="3" t="s">
        <v>243</v>
      </c>
      <c r="D284" s="3" t="s">
        <v>244</v>
      </c>
      <c r="E284" s="4" t="str">
        <f>HYPERLINK("#'业务数据类型'!A52","HsChar20")</f>
        <v>HsChar20</v>
      </c>
      <c r="F284" s="3" t="s">
        <v>70</v>
      </c>
      <c r="G284" s="6" t="s">
        <v>9</v>
      </c>
      <c r="H284" s="3" t="s">
        <v>9</v>
      </c>
    </row>
    <row r="285" ht="12.75" customHeight="1" spans="2:8">
      <c r="B285" s="5" t="s">
        <v>9</v>
      </c>
      <c r="C285" s="3" t="s">
        <v>245</v>
      </c>
      <c r="D285" s="3" t="s">
        <v>246</v>
      </c>
      <c r="E285" s="4" t="str">
        <f>HYPERLINK("#'业务数据类型'!A11","HsDate")</f>
        <v>HsDate</v>
      </c>
      <c r="F285" s="3" t="s">
        <v>70</v>
      </c>
      <c r="G285" s="6" t="s">
        <v>9</v>
      </c>
      <c r="H285" s="3" t="s">
        <v>9</v>
      </c>
    </row>
    <row r="286" ht="12.75" customHeight="1" spans="2:8">
      <c r="B286" s="5" t="s">
        <v>9</v>
      </c>
      <c r="C286" s="3" t="s">
        <v>213</v>
      </c>
      <c r="D286" s="3" t="s">
        <v>214</v>
      </c>
      <c r="E286" s="4" t="str">
        <f>HYPERLINK("#'业务数据类型'!A40","HsChar10")</f>
        <v>HsChar10</v>
      </c>
      <c r="F286" s="3" t="s">
        <v>70</v>
      </c>
      <c r="G286" s="6" t="s">
        <v>215</v>
      </c>
      <c r="H286" s="3" t="s">
        <v>9</v>
      </c>
    </row>
    <row r="287" ht="12.75" customHeight="1" spans="2:8">
      <c r="B287" s="5" t="s">
        <v>9</v>
      </c>
      <c r="C287" s="3" t="s">
        <v>247</v>
      </c>
      <c r="D287" s="3" t="s">
        <v>248</v>
      </c>
      <c r="E287" s="4" t="str">
        <f>HYPERLINK("#'业务数据类型'!A8","HsType")</f>
        <v>HsType</v>
      </c>
      <c r="F287" s="3" t="s">
        <v>70</v>
      </c>
      <c r="G287" s="6" t="s">
        <v>249</v>
      </c>
      <c r="H287" s="3" t="s">
        <v>9</v>
      </c>
    </row>
    <row r="288" ht="12.75" customHeight="1" spans="2:8">
      <c r="B288" s="5" t="s">
        <v>9</v>
      </c>
      <c r="C288" s="3" t="s">
        <v>250</v>
      </c>
      <c r="D288" s="3" t="s">
        <v>251</v>
      </c>
      <c r="E288" s="4" t="str">
        <f>HYPERLINK("#'业务数据类型'!A72","HsChar100")</f>
        <v>HsChar100</v>
      </c>
      <c r="F288" s="3" t="s">
        <v>70</v>
      </c>
      <c r="G288" s="6" t="s">
        <v>252</v>
      </c>
      <c r="H288" s="3" t="s">
        <v>9</v>
      </c>
    </row>
    <row r="289" ht="12.75" customHeight="1" spans="2:8">
      <c r="B289" s="5" t="s">
        <v>9</v>
      </c>
      <c r="C289" s="3" t="s">
        <v>185</v>
      </c>
      <c r="D289" s="3" t="s">
        <v>64</v>
      </c>
      <c r="E289" s="4" t="str">
        <f>HYPERLINK("#'业务数据类型'!A82","HsAbstract")</f>
        <v>HsAbstract</v>
      </c>
      <c r="F289" s="3" t="s">
        <v>70</v>
      </c>
      <c r="G289" s="6" t="s">
        <v>110</v>
      </c>
      <c r="H289" s="3" t="s">
        <v>9</v>
      </c>
    </row>
    <row r="290" ht="12.75" customHeight="1" spans="2:8">
      <c r="B290" s="5" t="s">
        <v>9</v>
      </c>
      <c r="C290" s="3" t="s">
        <v>117</v>
      </c>
      <c r="D290" s="3" t="s">
        <v>118</v>
      </c>
      <c r="E290" s="4" t="str">
        <f>HYPERLINK("#'业务数据类型'!A68","HsChar50")</f>
        <v>HsChar50</v>
      </c>
      <c r="F290" s="3" t="s">
        <v>70</v>
      </c>
      <c r="G290" s="6" t="s">
        <v>9</v>
      </c>
      <c r="H290" s="3" t="s">
        <v>9</v>
      </c>
    </row>
    <row r="291" ht="12.75" customHeight="1" spans="2:8">
      <c r="B291" s="5" t="s">
        <v>9</v>
      </c>
      <c r="C291" s="3" t="s">
        <v>119</v>
      </c>
      <c r="D291" s="3" t="s">
        <v>120</v>
      </c>
      <c r="E291" s="4" t="str">
        <f>HYPERLINK("#'业务数据类型'!A107","HsDateTime")</f>
        <v>HsDateTime</v>
      </c>
      <c r="F291" s="3" t="s">
        <v>70</v>
      </c>
      <c r="G291" s="6" t="s">
        <v>9</v>
      </c>
      <c r="H291" s="3" t="s">
        <v>9</v>
      </c>
    </row>
    <row r="292" ht="12.75" customHeight="1" spans="2:8">
      <c r="B292" s="5" t="s">
        <v>9</v>
      </c>
      <c r="C292" s="3" t="s">
        <v>121</v>
      </c>
      <c r="D292" s="3" t="s">
        <v>122</v>
      </c>
      <c r="E292" s="4" t="str">
        <f>HYPERLINK("#'业务数据类型'!A68","HsChar50")</f>
        <v>HsChar50</v>
      </c>
      <c r="F292" s="3" t="s">
        <v>70</v>
      </c>
      <c r="G292" s="6" t="s">
        <v>9</v>
      </c>
      <c r="H292" s="3" t="s">
        <v>9</v>
      </c>
    </row>
    <row r="293" ht="12.75" customHeight="1" spans="2:8">
      <c r="B293" s="5" t="s">
        <v>9</v>
      </c>
      <c r="C293" s="3" t="s">
        <v>123</v>
      </c>
      <c r="D293" s="3" t="s">
        <v>124</v>
      </c>
      <c r="E293" s="4" t="str">
        <f>HYPERLINK("#'业务数据类型'!A107","HsDateTime")</f>
        <v>HsDateTime</v>
      </c>
      <c r="F293" s="3" t="s">
        <v>70</v>
      </c>
      <c r="G293" s="6" t="s">
        <v>9</v>
      </c>
      <c r="H293" s="3" t="s">
        <v>9</v>
      </c>
    </row>
    <row r="294" ht="12.75" customHeight="1" spans="2:7">
      <c r="B294" s="5" t="s">
        <v>81</v>
      </c>
      <c r="C294" s="5" t="s">
        <v>82</v>
      </c>
      <c r="D294" s="5" t="s">
        <v>83</v>
      </c>
      <c r="E294" s="5" t="s">
        <v>84</v>
      </c>
      <c r="F294" s="5" t="s">
        <v>85</v>
      </c>
      <c r="G294" s="5" t="s">
        <v>86</v>
      </c>
    </row>
    <row r="295" ht="12.75" customHeight="1" spans="2:7">
      <c r="B295" s="5" t="s">
        <v>87</v>
      </c>
      <c r="C295" s="5" t="s">
        <v>88</v>
      </c>
      <c r="D295" s="5" t="s">
        <v>5</v>
      </c>
      <c r="E295" s="5" t="s">
        <v>89</v>
      </c>
      <c r="F295" s="5" t="s">
        <v>90</v>
      </c>
      <c r="G295" s="5" t="s">
        <v>91</v>
      </c>
    </row>
    <row r="296" ht="12.75" customHeight="1" spans="2:7">
      <c r="B296" s="5" t="s">
        <v>9</v>
      </c>
      <c r="C296" s="3" t="s">
        <v>253</v>
      </c>
      <c r="D296" s="3" t="s">
        <v>93</v>
      </c>
      <c r="E296" s="3" t="s">
        <v>218</v>
      </c>
      <c r="F296" s="3" t="s">
        <v>9</v>
      </c>
      <c r="G296" s="3" t="s">
        <v>9</v>
      </c>
    </row>
    <row r="297" ht="12.75" customHeight="1" spans="2:7">
      <c r="B297" s="5" t="s">
        <v>94</v>
      </c>
      <c r="C297" s="6" t="s">
        <v>9</v>
      </c>
      <c r="D297" s="6" t="s">
        <v>9</v>
      </c>
      <c r="E297" s="6" t="s">
        <v>9</v>
      </c>
      <c r="F297" s="6" t="s">
        <v>9</v>
      </c>
      <c r="G297" s="6" t="s">
        <v>9</v>
      </c>
    </row>
    <row r="300" ht="12.75" customHeight="1" spans="2:7">
      <c r="B300" s="5" t="s">
        <v>2</v>
      </c>
      <c r="C300" s="3" t="s">
        <v>9</v>
      </c>
      <c r="D300" s="3" t="s">
        <v>9</v>
      </c>
      <c r="E300" s="3" t="s">
        <v>9</v>
      </c>
      <c r="F300" s="5" t="s">
        <v>37</v>
      </c>
      <c r="G300" s="3" t="s">
        <v>9</v>
      </c>
    </row>
    <row r="301" ht="12.75" customHeight="1" spans="2:7">
      <c r="B301" s="5" t="s">
        <v>38</v>
      </c>
      <c r="C301" s="3" t="s">
        <v>254</v>
      </c>
      <c r="D301" s="5" t="s">
        <v>40</v>
      </c>
      <c r="E301" s="3" t="s">
        <v>41</v>
      </c>
      <c r="F301" s="5" t="s">
        <v>42</v>
      </c>
      <c r="G301" s="3" t="s">
        <v>9</v>
      </c>
    </row>
    <row r="302" ht="12.75" customHeight="1" spans="2:7">
      <c r="B302" s="5" t="s">
        <v>43</v>
      </c>
      <c r="C302" s="3" t="s">
        <v>24</v>
      </c>
      <c r="D302" s="5" t="s">
        <v>44</v>
      </c>
      <c r="E302" s="3" t="s">
        <v>45</v>
      </c>
      <c r="F302" s="5" t="s">
        <v>9</v>
      </c>
      <c r="G302" s="3" t="s">
        <v>9</v>
      </c>
    </row>
    <row r="303" ht="12.75" customHeight="1" spans="2:7">
      <c r="B303" s="5" t="s">
        <v>46</v>
      </c>
      <c r="C303" s="3" t="s">
        <v>9</v>
      </c>
      <c r="D303" s="5" t="s">
        <v>47</v>
      </c>
      <c r="E303" s="3" t="s">
        <v>9</v>
      </c>
      <c r="F303" s="5" t="s">
        <v>48</v>
      </c>
      <c r="G303" s="3" t="s">
        <v>9</v>
      </c>
    </row>
    <row r="304" ht="12.75" customHeight="1" spans="2:7">
      <c r="B304" s="5" t="s">
        <v>49</v>
      </c>
      <c r="C304" s="3" t="s">
        <v>45</v>
      </c>
      <c r="D304" s="5" t="s">
        <v>50</v>
      </c>
      <c r="E304" s="3" t="s">
        <v>45</v>
      </c>
      <c r="F304" s="5" t="s">
        <v>51</v>
      </c>
      <c r="G304" s="3" t="s">
        <v>45</v>
      </c>
    </row>
    <row r="305" ht="12.75" customHeight="1" spans="2:7">
      <c r="B305" s="5" t="s">
        <v>52</v>
      </c>
      <c r="C305" s="3" t="s">
        <v>9</v>
      </c>
      <c r="D305" s="5" t="s">
        <v>53</v>
      </c>
      <c r="E305" s="3" t="s">
        <v>9</v>
      </c>
      <c r="F305" s="5" t="s">
        <v>54</v>
      </c>
      <c r="G305" s="3" t="s">
        <v>9</v>
      </c>
    </row>
    <row r="306" ht="12.75" customHeight="1" spans="2:7">
      <c r="B306" s="5" t="s">
        <v>55</v>
      </c>
      <c r="C306" s="3" t="s">
        <v>9</v>
      </c>
      <c r="D306" s="5" t="s">
        <v>56</v>
      </c>
      <c r="E306" s="3" t="s">
        <v>9</v>
      </c>
      <c r="F306" s="5" t="s">
        <v>57</v>
      </c>
      <c r="G306" s="3" t="s">
        <v>9</v>
      </c>
    </row>
    <row r="307" ht="12.75" customHeight="1" spans="2:7">
      <c r="B307" s="5" t="s">
        <v>58</v>
      </c>
      <c r="C307" s="3" t="s">
        <v>9</v>
      </c>
      <c r="D307" s="5" t="s">
        <v>59</v>
      </c>
      <c r="E307" s="3" t="s">
        <v>9</v>
      </c>
      <c r="F307" s="5" t="s">
        <v>9</v>
      </c>
      <c r="G307" s="3" t="s">
        <v>9</v>
      </c>
    </row>
    <row r="308" ht="12.75" customHeight="1" spans="2:7">
      <c r="B308" s="5" t="s">
        <v>6</v>
      </c>
      <c r="C308" s="3" t="s">
        <v>9</v>
      </c>
      <c r="D308" s="3" t="s">
        <v>9</v>
      </c>
      <c r="E308" s="3" t="s">
        <v>9</v>
      </c>
      <c r="F308" s="3" t="s">
        <v>9</v>
      </c>
      <c r="G308" s="3" t="s">
        <v>9</v>
      </c>
    </row>
    <row r="309" ht="12.75" customHeight="1" spans="2:7">
      <c r="B309" s="5" t="s">
        <v>9</v>
      </c>
      <c r="C309" s="3" t="s">
        <v>9</v>
      </c>
      <c r="D309" s="3" t="s">
        <v>9</v>
      </c>
      <c r="E309" s="3" t="s">
        <v>9</v>
      </c>
      <c r="F309" s="3" t="s">
        <v>9</v>
      </c>
      <c r="G309" s="3" t="s">
        <v>9</v>
      </c>
    </row>
    <row r="310" ht="12.75" customHeight="1" spans="2:8">
      <c r="B310" s="5" t="s">
        <v>60</v>
      </c>
      <c r="C310" s="5" t="s">
        <v>61</v>
      </c>
      <c r="D310" s="5" t="s">
        <v>43</v>
      </c>
      <c r="E310" s="5" t="s">
        <v>62</v>
      </c>
      <c r="F310" s="5" t="s">
        <v>63</v>
      </c>
      <c r="G310" s="5" t="s">
        <v>64</v>
      </c>
      <c r="H310" s="5" t="s">
        <v>65</v>
      </c>
    </row>
    <row r="311" ht="12.75" customHeight="1" spans="2:8">
      <c r="B311" s="5" t="s">
        <v>9</v>
      </c>
      <c r="C311" s="3" t="s">
        <v>173</v>
      </c>
      <c r="D311" s="3" t="s">
        <v>174</v>
      </c>
      <c r="E311" s="4" t="str">
        <f>HYPERLINK("#'业务数据类型'!A66","HsChar32")</f>
        <v>HsChar32</v>
      </c>
      <c r="F311" s="3" t="s">
        <v>45</v>
      </c>
      <c r="G311" s="6" t="s">
        <v>9</v>
      </c>
      <c r="H311" s="3" t="s">
        <v>9</v>
      </c>
    </row>
    <row r="312" ht="12.75" customHeight="1" spans="2:8">
      <c r="B312" s="5" t="s">
        <v>9</v>
      </c>
      <c r="C312" s="3" t="s">
        <v>255</v>
      </c>
      <c r="D312" s="3" t="s">
        <v>256</v>
      </c>
      <c r="E312" s="4" t="str">
        <f>HYPERLINK("#'业务数据类型'!A68","HsChar50")</f>
        <v>HsChar50</v>
      </c>
      <c r="F312" s="3" t="s">
        <v>70</v>
      </c>
      <c r="G312" s="6" t="s">
        <v>9</v>
      </c>
      <c r="H312" s="3" t="s">
        <v>9</v>
      </c>
    </row>
    <row r="313" ht="12.75" customHeight="1" spans="2:8">
      <c r="B313" s="5" t="s">
        <v>9</v>
      </c>
      <c r="C313" s="3" t="s">
        <v>75</v>
      </c>
      <c r="D313" s="3" t="s">
        <v>76</v>
      </c>
      <c r="E313" s="4" t="str">
        <f>HYPERLINK("#'业务数据类型'!A68","HsChar50")</f>
        <v>HsChar50</v>
      </c>
      <c r="F313" s="3" t="s">
        <v>70</v>
      </c>
      <c r="G313" s="6" t="s">
        <v>9</v>
      </c>
      <c r="H313" s="3" t="s">
        <v>9</v>
      </c>
    </row>
    <row r="314" ht="12.75" customHeight="1" spans="2:8">
      <c r="B314" s="5" t="s">
        <v>9</v>
      </c>
      <c r="C314" s="3" t="s">
        <v>77</v>
      </c>
      <c r="D314" s="3" t="s">
        <v>78</v>
      </c>
      <c r="E314" s="4" t="str">
        <f>HYPERLINK("#'业务数据类型'!A68","HsChar50")</f>
        <v>HsChar50</v>
      </c>
      <c r="F314" s="3" t="s">
        <v>70</v>
      </c>
      <c r="G314" s="6" t="s">
        <v>9</v>
      </c>
      <c r="H314" s="3" t="s">
        <v>9</v>
      </c>
    </row>
    <row r="315" ht="12.75" customHeight="1" spans="2:8">
      <c r="B315" s="5" t="s">
        <v>9</v>
      </c>
      <c r="C315" s="3" t="s">
        <v>79</v>
      </c>
      <c r="D315" s="3" t="s">
        <v>80</v>
      </c>
      <c r="E315" s="4" t="str">
        <f>HYPERLINK("#'业务数据类型'!A68","HsChar50")</f>
        <v>HsChar50</v>
      </c>
      <c r="F315" s="3" t="s">
        <v>70</v>
      </c>
      <c r="G315" s="6" t="s">
        <v>9</v>
      </c>
      <c r="H315" s="3" t="s">
        <v>9</v>
      </c>
    </row>
    <row r="316" ht="12.75" customHeight="1" spans="2:7">
      <c r="B316" s="5" t="s">
        <v>81</v>
      </c>
      <c r="C316" s="5" t="s">
        <v>82</v>
      </c>
      <c r="D316" s="5" t="s">
        <v>83</v>
      </c>
      <c r="E316" s="5" t="s">
        <v>84</v>
      </c>
      <c r="F316" s="5" t="s">
        <v>85</v>
      </c>
      <c r="G316" s="5" t="s">
        <v>86</v>
      </c>
    </row>
    <row r="317" ht="12.75" customHeight="1" spans="2:7">
      <c r="B317" s="5" t="s">
        <v>87</v>
      </c>
      <c r="C317" s="5" t="s">
        <v>88</v>
      </c>
      <c r="D317" s="5" t="s">
        <v>5</v>
      </c>
      <c r="E317" s="5" t="s">
        <v>89</v>
      </c>
      <c r="F317" s="5" t="s">
        <v>90</v>
      </c>
      <c r="G317" s="5" t="s">
        <v>91</v>
      </c>
    </row>
    <row r="318" ht="12.75" customHeight="1" spans="2:7">
      <c r="B318" s="5" t="s">
        <v>9</v>
      </c>
      <c r="C318" s="3" t="s">
        <v>257</v>
      </c>
      <c r="D318" s="3" t="s">
        <v>93</v>
      </c>
      <c r="E318" s="3" t="s">
        <v>173</v>
      </c>
      <c r="F318" s="3" t="s">
        <v>9</v>
      </c>
      <c r="G318" s="3" t="s">
        <v>9</v>
      </c>
    </row>
    <row r="319" ht="12.75" customHeight="1" spans="2:7">
      <c r="B319" s="5" t="s">
        <v>94</v>
      </c>
      <c r="C319" s="6" t="s">
        <v>9</v>
      </c>
      <c r="D319" s="6" t="s">
        <v>9</v>
      </c>
      <c r="E319" s="6" t="s">
        <v>9</v>
      </c>
      <c r="F319" s="6" t="s">
        <v>9</v>
      </c>
      <c r="G319" s="6" t="s">
        <v>9</v>
      </c>
    </row>
    <row r="322" ht="12.75" customHeight="1" spans="2:7">
      <c r="B322" s="5" t="s">
        <v>2</v>
      </c>
      <c r="C322" s="3" t="s">
        <v>9</v>
      </c>
      <c r="D322" s="3" t="s">
        <v>9</v>
      </c>
      <c r="E322" s="3" t="s">
        <v>9</v>
      </c>
      <c r="F322" s="5" t="s">
        <v>37</v>
      </c>
      <c r="G322" s="3" t="s">
        <v>9</v>
      </c>
    </row>
    <row r="323" ht="12.75" customHeight="1" spans="2:7">
      <c r="B323" s="5" t="s">
        <v>38</v>
      </c>
      <c r="C323" s="3" t="s">
        <v>258</v>
      </c>
      <c r="D323" s="5" t="s">
        <v>40</v>
      </c>
      <c r="E323" s="3" t="s">
        <v>41</v>
      </c>
      <c r="F323" s="5" t="s">
        <v>42</v>
      </c>
      <c r="G323" s="3" t="s">
        <v>9</v>
      </c>
    </row>
    <row r="324" ht="12.75" customHeight="1" spans="2:7">
      <c r="B324" s="5" t="s">
        <v>43</v>
      </c>
      <c r="C324" s="3" t="s">
        <v>25</v>
      </c>
      <c r="D324" s="5" t="s">
        <v>44</v>
      </c>
      <c r="E324" s="3" t="s">
        <v>45</v>
      </c>
      <c r="F324" s="5" t="s">
        <v>9</v>
      </c>
      <c r="G324" s="3" t="s">
        <v>9</v>
      </c>
    </row>
    <row r="325" ht="12.75" customHeight="1" spans="2:7">
      <c r="B325" s="5" t="s">
        <v>46</v>
      </c>
      <c r="C325" s="3" t="s">
        <v>9</v>
      </c>
      <c r="D325" s="5" t="s">
        <v>47</v>
      </c>
      <c r="E325" s="3" t="s">
        <v>9</v>
      </c>
      <c r="F325" s="5" t="s">
        <v>48</v>
      </c>
      <c r="G325" s="3" t="s">
        <v>9</v>
      </c>
    </row>
    <row r="326" ht="12.75" customHeight="1" spans="2:7">
      <c r="B326" s="5" t="s">
        <v>49</v>
      </c>
      <c r="C326" s="3" t="s">
        <v>45</v>
      </c>
      <c r="D326" s="5" t="s">
        <v>50</v>
      </c>
      <c r="E326" s="3" t="s">
        <v>45</v>
      </c>
      <c r="F326" s="5" t="s">
        <v>51</v>
      </c>
      <c r="G326" s="3" t="s">
        <v>45</v>
      </c>
    </row>
    <row r="327" ht="12.75" customHeight="1" spans="2:7">
      <c r="B327" s="5" t="s">
        <v>52</v>
      </c>
      <c r="C327" s="3" t="s">
        <v>9</v>
      </c>
      <c r="D327" s="5" t="s">
        <v>53</v>
      </c>
      <c r="E327" s="3" t="s">
        <v>9</v>
      </c>
      <c r="F327" s="5" t="s">
        <v>54</v>
      </c>
      <c r="G327" s="3" t="s">
        <v>9</v>
      </c>
    </row>
    <row r="328" ht="12.75" customHeight="1" spans="2:7">
      <c r="B328" s="5" t="s">
        <v>55</v>
      </c>
      <c r="C328" s="3" t="s">
        <v>9</v>
      </c>
      <c r="D328" s="5" t="s">
        <v>56</v>
      </c>
      <c r="E328" s="3" t="s">
        <v>9</v>
      </c>
      <c r="F328" s="5" t="s">
        <v>57</v>
      </c>
      <c r="G328" s="3" t="s">
        <v>9</v>
      </c>
    </row>
    <row r="329" ht="12.75" customHeight="1" spans="2:7">
      <c r="B329" s="5" t="s">
        <v>58</v>
      </c>
      <c r="C329" s="3" t="s">
        <v>9</v>
      </c>
      <c r="D329" s="5" t="s">
        <v>59</v>
      </c>
      <c r="E329" s="3" t="s">
        <v>9</v>
      </c>
      <c r="F329" s="5" t="s">
        <v>9</v>
      </c>
      <c r="G329" s="3" t="s">
        <v>9</v>
      </c>
    </row>
    <row r="330" ht="12.75" customHeight="1" spans="2:7">
      <c r="B330" s="5" t="s">
        <v>6</v>
      </c>
      <c r="C330" s="3" t="s">
        <v>9</v>
      </c>
      <c r="D330" s="3" t="s">
        <v>9</v>
      </c>
      <c r="E330" s="3" t="s">
        <v>9</v>
      </c>
      <c r="F330" s="3" t="s">
        <v>9</v>
      </c>
      <c r="G330" s="3" t="s">
        <v>9</v>
      </c>
    </row>
    <row r="331" ht="12.75" customHeight="1" spans="2:7">
      <c r="B331" s="5" t="s">
        <v>9</v>
      </c>
      <c r="C331" s="3" t="s">
        <v>9</v>
      </c>
      <c r="D331" s="3" t="s">
        <v>9</v>
      </c>
      <c r="E331" s="3" t="s">
        <v>9</v>
      </c>
      <c r="F331" s="3" t="s">
        <v>9</v>
      </c>
      <c r="G331" s="3" t="s">
        <v>9</v>
      </c>
    </row>
    <row r="332" ht="12.75" customHeight="1" spans="2:8">
      <c r="B332" s="5" t="s">
        <v>60</v>
      </c>
      <c r="C332" s="5" t="s">
        <v>61</v>
      </c>
      <c r="D332" s="5" t="s">
        <v>43</v>
      </c>
      <c r="E332" s="5" t="s">
        <v>62</v>
      </c>
      <c r="F332" s="5" t="s">
        <v>63</v>
      </c>
      <c r="G332" s="5" t="s">
        <v>64</v>
      </c>
      <c r="H332" s="5" t="s">
        <v>65</v>
      </c>
    </row>
    <row r="333" ht="12.75" customHeight="1" spans="2:8">
      <c r="B333" s="5" t="s">
        <v>9</v>
      </c>
      <c r="C333" s="3" t="s">
        <v>259</v>
      </c>
      <c r="D333" s="3" t="s">
        <v>260</v>
      </c>
      <c r="E333" s="4" t="str">
        <f>HYPERLINK("#'业务数据类型'!A66","HsChar32")</f>
        <v>HsChar32</v>
      </c>
      <c r="F333" s="3" t="s">
        <v>45</v>
      </c>
      <c r="G333" s="6" t="s">
        <v>9</v>
      </c>
      <c r="H333" s="3" t="s">
        <v>9</v>
      </c>
    </row>
    <row r="334" ht="12.75" customHeight="1" spans="2:8">
      <c r="B334" s="5" t="s">
        <v>9</v>
      </c>
      <c r="C334" s="3" t="s">
        <v>261</v>
      </c>
      <c r="D334" s="3" t="s">
        <v>262</v>
      </c>
      <c r="E334" s="4" t="str">
        <f>HYPERLINK("#'业务数据类型'!A66","HsChar32")</f>
        <v>HsChar32</v>
      </c>
      <c r="F334" s="3" t="s">
        <v>70</v>
      </c>
      <c r="G334" s="6" t="s">
        <v>263</v>
      </c>
      <c r="H334" s="3" t="s">
        <v>9</v>
      </c>
    </row>
    <row r="335" ht="12.75" customHeight="1" spans="2:8">
      <c r="B335" s="5" t="s">
        <v>9</v>
      </c>
      <c r="C335" s="3" t="s">
        <v>220</v>
      </c>
      <c r="D335" s="3" t="s">
        <v>221</v>
      </c>
      <c r="E335" s="4" t="str">
        <f>HYPERLINK("#'业务数据类型'!A66","HsChar32")</f>
        <v>HsChar32</v>
      </c>
      <c r="F335" s="3" t="s">
        <v>70</v>
      </c>
      <c r="G335" s="6" t="s">
        <v>9</v>
      </c>
      <c r="H335" s="3" t="s">
        <v>9</v>
      </c>
    </row>
    <row r="336" ht="12.75" customHeight="1" spans="2:8">
      <c r="B336" s="5" t="s">
        <v>9</v>
      </c>
      <c r="C336" s="3" t="s">
        <v>185</v>
      </c>
      <c r="D336" s="3" t="s">
        <v>64</v>
      </c>
      <c r="E336" s="4" t="str">
        <f>HYPERLINK("#'业务数据类型'!A82","HsAbstract")</f>
        <v>HsAbstract</v>
      </c>
      <c r="F336" s="3" t="s">
        <v>70</v>
      </c>
      <c r="G336" s="6" t="s">
        <v>110</v>
      </c>
      <c r="H336" s="3" t="s">
        <v>9</v>
      </c>
    </row>
    <row r="337" ht="12.75" customHeight="1" spans="2:8">
      <c r="B337" s="5" t="s">
        <v>9</v>
      </c>
      <c r="C337" s="3" t="s">
        <v>222</v>
      </c>
      <c r="D337" s="3" t="s">
        <v>223</v>
      </c>
      <c r="E337" s="4" t="str">
        <f>HYPERLINK("#'业务数据类型'!A83","HsChar1000")</f>
        <v>HsChar1000</v>
      </c>
      <c r="F337" s="3" t="s">
        <v>70</v>
      </c>
      <c r="G337" s="6" t="s">
        <v>224</v>
      </c>
      <c r="H337" s="3" t="s">
        <v>9</v>
      </c>
    </row>
    <row r="338" ht="12.75" customHeight="1" spans="2:8">
      <c r="B338" s="5" t="s">
        <v>9</v>
      </c>
      <c r="C338" s="3" t="s">
        <v>225</v>
      </c>
      <c r="D338" s="3" t="s">
        <v>226</v>
      </c>
      <c r="E338" s="4" t="str">
        <f>HYPERLINK("#'业务数据类型'!A83","HsChar1000")</f>
        <v>HsChar1000</v>
      </c>
      <c r="F338" s="3" t="s">
        <v>70</v>
      </c>
      <c r="G338" s="6" t="s">
        <v>110</v>
      </c>
      <c r="H338" s="3" t="s">
        <v>9</v>
      </c>
    </row>
    <row r="339" ht="12.75" customHeight="1" spans="2:7">
      <c r="B339" s="5" t="s">
        <v>81</v>
      </c>
      <c r="C339" s="5" t="s">
        <v>82</v>
      </c>
      <c r="D339" s="5" t="s">
        <v>83</v>
      </c>
      <c r="E339" s="5" t="s">
        <v>84</v>
      </c>
      <c r="F339" s="5" t="s">
        <v>85</v>
      </c>
      <c r="G339" s="5" t="s">
        <v>86</v>
      </c>
    </row>
    <row r="340" ht="12.75" customHeight="1" spans="2:7">
      <c r="B340" s="5" t="s">
        <v>87</v>
      </c>
      <c r="C340" s="5" t="s">
        <v>88</v>
      </c>
      <c r="D340" s="5" t="s">
        <v>5</v>
      </c>
      <c r="E340" s="5" t="s">
        <v>89</v>
      </c>
      <c r="F340" s="5" t="s">
        <v>90</v>
      </c>
      <c r="G340" s="5" t="s">
        <v>91</v>
      </c>
    </row>
    <row r="341" ht="12.75" customHeight="1" spans="2:7">
      <c r="B341" s="5" t="s">
        <v>9</v>
      </c>
      <c r="C341" s="3" t="s">
        <v>264</v>
      </c>
      <c r="D341" s="3" t="s">
        <v>93</v>
      </c>
      <c r="E341" s="3" t="s">
        <v>259</v>
      </c>
      <c r="F341" s="3" t="s">
        <v>9</v>
      </c>
      <c r="G341" s="3" t="s">
        <v>9</v>
      </c>
    </row>
    <row r="342" ht="12.75" customHeight="1" spans="2:7">
      <c r="B342" s="5" t="s">
        <v>94</v>
      </c>
      <c r="C342" s="6" t="s">
        <v>9</v>
      </c>
      <c r="D342" s="6" t="s">
        <v>9</v>
      </c>
      <c r="E342" s="6" t="s">
        <v>9</v>
      </c>
      <c r="F342" s="6" t="s">
        <v>9</v>
      </c>
      <c r="G342" s="6" t="s">
        <v>9</v>
      </c>
    </row>
    <row r="345" ht="12.75" customHeight="1" spans="2:7">
      <c r="B345" s="5" t="s">
        <v>2</v>
      </c>
      <c r="C345" s="3" t="s">
        <v>9</v>
      </c>
      <c r="D345" s="3" t="s">
        <v>9</v>
      </c>
      <c r="E345" s="3" t="s">
        <v>9</v>
      </c>
      <c r="F345" s="5" t="s">
        <v>37</v>
      </c>
      <c r="G345" s="3" t="s">
        <v>9</v>
      </c>
    </row>
    <row r="346" ht="12.75" customHeight="1" spans="2:7">
      <c r="B346" s="5" t="s">
        <v>38</v>
      </c>
      <c r="C346" s="3" t="s">
        <v>265</v>
      </c>
      <c r="D346" s="5" t="s">
        <v>40</v>
      </c>
      <c r="E346" s="3" t="s">
        <v>41</v>
      </c>
      <c r="F346" s="5" t="s">
        <v>42</v>
      </c>
      <c r="G346" s="3" t="s">
        <v>9</v>
      </c>
    </row>
    <row r="347" ht="12.75" customHeight="1" spans="2:7">
      <c r="B347" s="5" t="s">
        <v>43</v>
      </c>
      <c r="C347" s="3" t="s">
        <v>26</v>
      </c>
      <c r="D347" s="5" t="s">
        <v>44</v>
      </c>
      <c r="E347" s="3" t="s">
        <v>45</v>
      </c>
      <c r="F347" s="5" t="s">
        <v>9</v>
      </c>
      <c r="G347" s="3" t="s">
        <v>9</v>
      </c>
    </row>
    <row r="348" ht="12.75" customHeight="1" spans="2:7">
      <c r="B348" s="5" t="s">
        <v>46</v>
      </c>
      <c r="C348" s="3" t="s">
        <v>9</v>
      </c>
      <c r="D348" s="5" t="s">
        <v>47</v>
      </c>
      <c r="E348" s="3" t="s">
        <v>9</v>
      </c>
      <c r="F348" s="5" t="s">
        <v>48</v>
      </c>
      <c r="G348" s="3" t="s">
        <v>9</v>
      </c>
    </row>
    <row r="349" ht="12.75" customHeight="1" spans="2:7">
      <c r="B349" s="5" t="s">
        <v>49</v>
      </c>
      <c r="C349" s="3" t="s">
        <v>45</v>
      </c>
      <c r="D349" s="5" t="s">
        <v>50</v>
      </c>
      <c r="E349" s="3" t="s">
        <v>45</v>
      </c>
      <c r="F349" s="5" t="s">
        <v>51</v>
      </c>
      <c r="G349" s="3" t="s">
        <v>45</v>
      </c>
    </row>
    <row r="350" ht="12.75" customHeight="1" spans="2:7">
      <c r="B350" s="5" t="s">
        <v>52</v>
      </c>
      <c r="C350" s="3" t="s">
        <v>9</v>
      </c>
      <c r="D350" s="5" t="s">
        <v>53</v>
      </c>
      <c r="E350" s="3" t="s">
        <v>9</v>
      </c>
      <c r="F350" s="5" t="s">
        <v>54</v>
      </c>
      <c r="G350" s="3" t="s">
        <v>9</v>
      </c>
    </row>
    <row r="351" ht="12.75" customHeight="1" spans="2:7">
      <c r="B351" s="5" t="s">
        <v>55</v>
      </c>
      <c r="C351" s="3" t="s">
        <v>9</v>
      </c>
      <c r="D351" s="5" t="s">
        <v>56</v>
      </c>
      <c r="E351" s="3" t="s">
        <v>9</v>
      </c>
      <c r="F351" s="5" t="s">
        <v>57</v>
      </c>
      <c r="G351" s="3" t="s">
        <v>9</v>
      </c>
    </row>
    <row r="352" ht="12.75" customHeight="1" spans="2:7">
      <c r="B352" s="5" t="s">
        <v>58</v>
      </c>
      <c r="C352" s="3" t="s">
        <v>9</v>
      </c>
      <c r="D352" s="5" t="s">
        <v>59</v>
      </c>
      <c r="E352" s="3" t="s">
        <v>9</v>
      </c>
      <c r="F352" s="5" t="s">
        <v>9</v>
      </c>
      <c r="G352" s="3" t="s">
        <v>9</v>
      </c>
    </row>
    <row r="353" ht="12.75" customHeight="1" spans="2:7">
      <c r="B353" s="5" t="s">
        <v>6</v>
      </c>
      <c r="C353" s="3" t="s">
        <v>9</v>
      </c>
      <c r="D353" s="3" t="s">
        <v>9</v>
      </c>
      <c r="E353" s="3" t="s">
        <v>9</v>
      </c>
      <c r="F353" s="3" t="s">
        <v>9</v>
      </c>
      <c r="G353" s="3" t="s">
        <v>9</v>
      </c>
    </row>
    <row r="354" ht="12.75" customHeight="1" spans="2:7">
      <c r="B354" s="5" t="s">
        <v>9</v>
      </c>
      <c r="C354" s="3" t="s">
        <v>9</v>
      </c>
      <c r="D354" s="3" t="s">
        <v>9</v>
      </c>
      <c r="E354" s="3" t="s">
        <v>9</v>
      </c>
      <c r="F354" s="3" t="s">
        <v>9</v>
      </c>
      <c r="G354" s="3" t="s">
        <v>9</v>
      </c>
    </row>
    <row r="355" ht="12.75" customHeight="1" spans="2:8">
      <c r="B355" s="5" t="s">
        <v>60</v>
      </c>
      <c r="C355" s="5" t="s">
        <v>61</v>
      </c>
      <c r="D355" s="5" t="s">
        <v>43</v>
      </c>
      <c r="E355" s="5" t="s">
        <v>62</v>
      </c>
      <c r="F355" s="5" t="s">
        <v>63</v>
      </c>
      <c r="G355" s="5" t="s">
        <v>64</v>
      </c>
      <c r="H355" s="5" t="s">
        <v>65</v>
      </c>
    </row>
    <row r="356" ht="12.75" customHeight="1" spans="2:8">
      <c r="B356" s="5" t="s">
        <v>9</v>
      </c>
      <c r="C356" s="3" t="s">
        <v>220</v>
      </c>
      <c r="D356" s="3" t="s">
        <v>221</v>
      </c>
      <c r="E356" s="4" t="str">
        <f>HYPERLINK("#'业务数据类型'!A66","HsChar32")</f>
        <v>HsChar32</v>
      </c>
      <c r="F356" s="3" t="s">
        <v>45</v>
      </c>
      <c r="G356" s="6" t="s">
        <v>9</v>
      </c>
      <c r="H356" s="3" t="s">
        <v>9</v>
      </c>
    </row>
    <row r="357" ht="12.75" customHeight="1" spans="2:8">
      <c r="B357" s="5" t="s">
        <v>9</v>
      </c>
      <c r="C357" s="3" t="s">
        <v>266</v>
      </c>
      <c r="D357" s="3" t="s">
        <v>267</v>
      </c>
      <c r="E357" s="4" t="str">
        <f>HYPERLINK("#'业务数据类型'!A92","HsChar30")</f>
        <v>HsChar30</v>
      </c>
      <c r="F357" s="3" t="s">
        <v>70</v>
      </c>
      <c r="G357" s="6" t="s">
        <v>9</v>
      </c>
      <c r="H357" s="3" t="s">
        <v>9</v>
      </c>
    </row>
    <row r="358" ht="12.75" customHeight="1" spans="2:8">
      <c r="B358" s="5" t="s">
        <v>9</v>
      </c>
      <c r="C358" s="3" t="s">
        <v>268</v>
      </c>
      <c r="D358" s="3" t="s">
        <v>269</v>
      </c>
      <c r="E358" s="4" t="str">
        <f>HYPERLINK("#'业务数据类型'!A72","HsChar100")</f>
        <v>HsChar100</v>
      </c>
      <c r="F358" s="3" t="s">
        <v>70</v>
      </c>
      <c r="G358" s="6" t="s">
        <v>9</v>
      </c>
      <c r="H358" s="3" t="s">
        <v>9</v>
      </c>
    </row>
    <row r="359" ht="12.75" customHeight="1" spans="2:8">
      <c r="B359" s="5" t="s">
        <v>9</v>
      </c>
      <c r="C359" s="3" t="s">
        <v>270</v>
      </c>
      <c r="D359" s="3" t="s">
        <v>271</v>
      </c>
      <c r="E359" s="4" t="str">
        <f>HYPERLINK("#'业务数据类型'!A77","HsChar200")</f>
        <v>HsChar200</v>
      </c>
      <c r="F359" s="3" t="s">
        <v>70</v>
      </c>
      <c r="G359" s="6" t="s">
        <v>9</v>
      </c>
      <c r="H359" s="3" t="s">
        <v>9</v>
      </c>
    </row>
    <row r="360" ht="12.75" customHeight="1" spans="2:8">
      <c r="B360" s="5" t="s">
        <v>9</v>
      </c>
      <c r="C360" s="3" t="s">
        <v>272</v>
      </c>
      <c r="D360" s="3" t="s">
        <v>273</v>
      </c>
      <c r="E360" s="4" t="str">
        <f>HYPERLINK("#'业务数据类型'!A40","HsChar10")</f>
        <v>HsChar10</v>
      </c>
      <c r="F360" s="3" t="s">
        <v>70</v>
      </c>
      <c r="G360" s="6" t="s">
        <v>9</v>
      </c>
      <c r="H360" s="3" t="s">
        <v>9</v>
      </c>
    </row>
    <row r="361" ht="12.75" customHeight="1" spans="2:8">
      <c r="B361" s="5" t="s">
        <v>9</v>
      </c>
      <c r="C361" s="3" t="s">
        <v>274</v>
      </c>
      <c r="D361" s="3" t="s">
        <v>275</v>
      </c>
      <c r="E361" s="4" t="str">
        <f>HYPERLINK("#'业务数据类型'!A8","HsType")</f>
        <v>HsType</v>
      </c>
      <c r="F361" s="3" t="s">
        <v>70</v>
      </c>
      <c r="G361" s="6" t="s">
        <v>9</v>
      </c>
      <c r="H361" s="3" t="s">
        <v>9</v>
      </c>
    </row>
    <row r="362" ht="12.75" customHeight="1" spans="2:8">
      <c r="B362" s="5" t="s">
        <v>9</v>
      </c>
      <c r="C362" s="3" t="s">
        <v>276</v>
      </c>
      <c r="D362" s="3" t="s">
        <v>277</v>
      </c>
      <c r="E362" s="4" t="str">
        <f>HYPERLINK("#'业务数据类型'!A16","HsNum")</f>
        <v>HsNum</v>
      </c>
      <c r="F362" s="3" t="s">
        <v>70</v>
      </c>
      <c r="G362" s="6" t="s">
        <v>9</v>
      </c>
      <c r="H362" s="3" t="s">
        <v>9</v>
      </c>
    </row>
    <row r="363" ht="12.75" customHeight="1" spans="2:8">
      <c r="B363" s="5" t="s">
        <v>9</v>
      </c>
      <c r="C363" s="3" t="s">
        <v>278</v>
      </c>
      <c r="D363" s="3" t="s">
        <v>279</v>
      </c>
      <c r="E363" s="4" t="str">
        <f>HYPERLINK("#'业务数据类型'!A17","HsNumID")</f>
        <v>HsNumID</v>
      </c>
      <c r="F363" s="3" t="s">
        <v>70</v>
      </c>
      <c r="G363" s="6" t="s">
        <v>280</v>
      </c>
      <c r="H363" s="3" t="s">
        <v>9</v>
      </c>
    </row>
    <row r="364" ht="12.75" customHeight="1" spans="2:8">
      <c r="B364" s="5" t="s">
        <v>9</v>
      </c>
      <c r="C364" s="3" t="s">
        <v>281</v>
      </c>
      <c r="D364" s="3" t="s">
        <v>282</v>
      </c>
      <c r="E364" s="4" t="str">
        <f>HYPERLINK("#'业务数据类型'!A9","HsFlag")</f>
        <v>HsFlag</v>
      </c>
      <c r="F364" s="3" t="s">
        <v>70</v>
      </c>
      <c r="G364" s="6" t="s">
        <v>283</v>
      </c>
      <c r="H364" s="3" t="s">
        <v>9</v>
      </c>
    </row>
    <row r="365" ht="12.75" customHeight="1" spans="2:8">
      <c r="B365" s="5" t="s">
        <v>9</v>
      </c>
      <c r="C365" s="3" t="s">
        <v>261</v>
      </c>
      <c r="D365" s="3" t="s">
        <v>262</v>
      </c>
      <c r="E365" s="4" t="str">
        <f>HYPERLINK("#'业务数据类型'!A66","HsChar32")</f>
        <v>HsChar32</v>
      </c>
      <c r="F365" s="3" t="s">
        <v>70</v>
      </c>
      <c r="G365" s="6" t="s">
        <v>263</v>
      </c>
      <c r="H365" s="3" t="s">
        <v>9</v>
      </c>
    </row>
    <row r="366" ht="12.75" customHeight="1" spans="2:8">
      <c r="B366" s="5" t="s">
        <v>9</v>
      </c>
      <c r="C366" s="3" t="s">
        <v>284</v>
      </c>
      <c r="D366" s="3" t="s">
        <v>285</v>
      </c>
      <c r="E366" s="4" t="str">
        <f>HYPERLINK("#'业务数据类型'!A99","HsTimeStamp")</f>
        <v>HsTimeStamp</v>
      </c>
      <c r="F366" s="3" t="s">
        <v>70</v>
      </c>
      <c r="G366" s="6" t="s">
        <v>9</v>
      </c>
      <c r="H366" s="3" t="s">
        <v>9</v>
      </c>
    </row>
    <row r="367" ht="12.75" customHeight="1" spans="2:8">
      <c r="B367" s="5" t="s">
        <v>9</v>
      </c>
      <c r="C367" s="3" t="s">
        <v>185</v>
      </c>
      <c r="D367" s="3" t="s">
        <v>64</v>
      </c>
      <c r="E367" s="4" t="str">
        <f>HYPERLINK("#'业务数据类型'!A82","HsAbstract")</f>
        <v>HsAbstract</v>
      </c>
      <c r="F367" s="3" t="s">
        <v>70</v>
      </c>
      <c r="G367" s="6" t="s">
        <v>110</v>
      </c>
      <c r="H367" s="3" t="s">
        <v>9</v>
      </c>
    </row>
    <row r="368" ht="12.75" customHeight="1" spans="2:8">
      <c r="B368" s="5" t="s">
        <v>9</v>
      </c>
      <c r="C368" s="3" t="s">
        <v>222</v>
      </c>
      <c r="D368" s="3" t="s">
        <v>223</v>
      </c>
      <c r="E368" s="4" t="str">
        <f>HYPERLINK("#'业务数据类型'!A83","HsChar1000")</f>
        <v>HsChar1000</v>
      </c>
      <c r="F368" s="3" t="s">
        <v>70</v>
      </c>
      <c r="G368" s="6" t="s">
        <v>224</v>
      </c>
      <c r="H368" s="3" t="s">
        <v>9</v>
      </c>
    </row>
    <row r="369" ht="12.75" customHeight="1" spans="2:8">
      <c r="B369" s="5" t="s">
        <v>9</v>
      </c>
      <c r="C369" s="3" t="s">
        <v>225</v>
      </c>
      <c r="D369" s="3" t="s">
        <v>226</v>
      </c>
      <c r="E369" s="4" t="str">
        <f>HYPERLINK("#'业务数据类型'!A83","HsChar1000")</f>
        <v>HsChar1000</v>
      </c>
      <c r="F369" s="3" t="s">
        <v>70</v>
      </c>
      <c r="G369" s="6" t="s">
        <v>110</v>
      </c>
      <c r="H369" s="3" t="s">
        <v>9</v>
      </c>
    </row>
    <row r="370" ht="12.75" customHeight="1" spans="2:7">
      <c r="B370" s="5" t="s">
        <v>81</v>
      </c>
      <c r="C370" s="5" t="s">
        <v>82</v>
      </c>
      <c r="D370" s="5" t="s">
        <v>83</v>
      </c>
      <c r="E370" s="5" t="s">
        <v>84</v>
      </c>
      <c r="F370" s="5" t="s">
        <v>85</v>
      </c>
      <c r="G370" s="5" t="s">
        <v>86</v>
      </c>
    </row>
    <row r="371" ht="12.75" customHeight="1" spans="2:7">
      <c r="B371" s="5" t="s">
        <v>87</v>
      </c>
      <c r="C371" s="5" t="s">
        <v>88</v>
      </c>
      <c r="D371" s="5" t="s">
        <v>5</v>
      </c>
      <c r="E371" s="5" t="s">
        <v>89</v>
      </c>
      <c r="F371" s="5" t="s">
        <v>90</v>
      </c>
      <c r="G371" s="5" t="s">
        <v>91</v>
      </c>
    </row>
    <row r="372" ht="12.75" customHeight="1" spans="2:7">
      <c r="B372" s="5" t="s">
        <v>9</v>
      </c>
      <c r="C372" s="3" t="s">
        <v>286</v>
      </c>
      <c r="D372" s="3" t="s">
        <v>93</v>
      </c>
      <c r="E372" s="3" t="s">
        <v>220</v>
      </c>
      <c r="F372" s="3" t="s">
        <v>9</v>
      </c>
      <c r="G372" s="3" t="s">
        <v>9</v>
      </c>
    </row>
    <row r="373" ht="12.75" customHeight="1" spans="2:7">
      <c r="B373" s="5" t="s">
        <v>94</v>
      </c>
      <c r="C373" s="6" t="s">
        <v>9</v>
      </c>
      <c r="D373" s="6" t="s">
        <v>9</v>
      </c>
      <c r="E373" s="6" t="s">
        <v>9</v>
      </c>
      <c r="F373" s="6" t="s">
        <v>9</v>
      </c>
      <c r="G373" s="6" t="s">
        <v>9</v>
      </c>
    </row>
    <row r="376" ht="12.75" customHeight="1" spans="2:7">
      <c r="B376" s="5" t="s">
        <v>2</v>
      </c>
      <c r="C376" s="3" t="s">
        <v>9</v>
      </c>
      <c r="D376" s="3" t="s">
        <v>9</v>
      </c>
      <c r="E376" s="3" t="s">
        <v>9</v>
      </c>
      <c r="F376" s="5" t="s">
        <v>37</v>
      </c>
      <c r="G376" s="3" t="s">
        <v>9</v>
      </c>
    </row>
    <row r="377" ht="12.75" customHeight="1" spans="2:7">
      <c r="B377" s="5" t="s">
        <v>38</v>
      </c>
      <c r="C377" s="3" t="s">
        <v>287</v>
      </c>
      <c r="D377" s="5" t="s">
        <v>40</v>
      </c>
      <c r="E377" s="3" t="s">
        <v>41</v>
      </c>
      <c r="F377" s="5" t="s">
        <v>42</v>
      </c>
      <c r="G377" s="3" t="s">
        <v>9</v>
      </c>
    </row>
    <row r="378" ht="12.75" customHeight="1" spans="2:7">
      <c r="B378" s="5" t="s">
        <v>43</v>
      </c>
      <c r="C378" s="3" t="s">
        <v>27</v>
      </c>
      <c r="D378" s="5" t="s">
        <v>44</v>
      </c>
      <c r="E378" s="3" t="s">
        <v>45</v>
      </c>
      <c r="F378" s="5" t="s">
        <v>9</v>
      </c>
      <c r="G378" s="3" t="s">
        <v>9</v>
      </c>
    </row>
    <row r="379" ht="12.75" customHeight="1" spans="2:7">
      <c r="B379" s="5" t="s">
        <v>46</v>
      </c>
      <c r="C379" s="3" t="s">
        <v>9</v>
      </c>
      <c r="D379" s="5" t="s">
        <v>47</v>
      </c>
      <c r="E379" s="3" t="s">
        <v>9</v>
      </c>
      <c r="F379" s="5" t="s">
        <v>48</v>
      </c>
      <c r="G379" s="3" t="s">
        <v>9</v>
      </c>
    </row>
    <row r="380" ht="12.75" customHeight="1" spans="2:7">
      <c r="B380" s="5" t="s">
        <v>49</v>
      </c>
      <c r="C380" s="3" t="s">
        <v>45</v>
      </c>
      <c r="D380" s="5" t="s">
        <v>50</v>
      </c>
      <c r="E380" s="3" t="s">
        <v>45</v>
      </c>
      <c r="F380" s="5" t="s">
        <v>51</v>
      </c>
      <c r="G380" s="3" t="s">
        <v>45</v>
      </c>
    </row>
    <row r="381" ht="12.75" customHeight="1" spans="2:7">
      <c r="B381" s="5" t="s">
        <v>52</v>
      </c>
      <c r="C381" s="3" t="s">
        <v>9</v>
      </c>
      <c r="D381" s="5" t="s">
        <v>53</v>
      </c>
      <c r="E381" s="3" t="s">
        <v>9</v>
      </c>
      <c r="F381" s="5" t="s">
        <v>54</v>
      </c>
      <c r="G381" s="3" t="s">
        <v>9</v>
      </c>
    </row>
    <row r="382" ht="12.75" customHeight="1" spans="2:7">
      <c r="B382" s="5" t="s">
        <v>55</v>
      </c>
      <c r="C382" s="3" t="s">
        <v>9</v>
      </c>
      <c r="D382" s="5" t="s">
        <v>56</v>
      </c>
      <c r="E382" s="3" t="s">
        <v>9</v>
      </c>
      <c r="F382" s="5" t="s">
        <v>57</v>
      </c>
      <c r="G382" s="3" t="s">
        <v>9</v>
      </c>
    </row>
    <row r="383" ht="12.75" customHeight="1" spans="2:7">
      <c r="B383" s="5" t="s">
        <v>58</v>
      </c>
      <c r="C383" s="3" t="s">
        <v>9</v>
      </c>
      <c r="D383" s="5" t="s">
        <v>59</v>
      </c>
      <c r="E383" s="3" t="s">
        <v>9</v>
      </c>
      <c r="F383" s="5" t="s">
        <v>9</v>
      </c>
      <c r="G383" s="3" t="s">
        <v>9</v>
      </c>
    </row>
    <row r="384" ht="12.75" customHeight="1" spans="2:7">
      <c r="B384" s="5" t="s">
        <v>6</v>
      </c>
      <c r="C384" s="3" t="s">
        <v>9</v>
      </c>
      <c r="D384" s="3" t="s">
        <v>9</v>
      </c>
      <c r="E384" s="3" t="s">
        <v>9</v>
      </c>
      <c r="F384" s="3" t="s">
        <v>9</v>
      </c>
      <c r="G384" s="3" t="s">
        <v>9</v>
      </c>
    </row>
    <row r="385" ht="12.75" customHeight="1" spans="2:7">
      <c r="B385" s="5" t="s">
        <v>9</v>
      </c>
      <c r="C385" s="3" t="s">
        <v>9</v>
      </c>
      <c r="D385" s="3" t="s">
        <v>9</v>
      </c>
      <c r="E385" s="3" t="s">
        <v>9</v>
      </c>
      <c r="F385" s="3" t="s">
        <v>9</v>
      </c>
      <c r="G385" s="3" t="s">
        <v>9</v>
      </c>
    </row>
    <row r="386" ht="12.75" customHeight="1" spans="2:8">
      <c r="B386" s="5" t="s">
        <v>60</v>
      </c>
      <c r="C386" s="5" t="s">
        <v>61</v>
      </c>
      <c r="D386" s="5" t="s">
        <v>43</v>
      </c>
      <c r="E386" s="5" t="s">
        <v>62</v>
      </c>
      <c r="F386" s="5" t="s">
        <v>63</v>
      </c>
      <c r="G386" s="5" t="s">
        <v>64</v>
      </c>
      <c r="H386" s="5" t="s">
        <v>65</v>
      </c>
    </row>
    <row r="387" ht="12.75" customHeight="1" spans="2:8">
      <c r="B387" s="5" t="s">
        <v>9</v>
      </c>
      <c r="C387" s="3" t="s">
        <v>96</v>
      </c>
      <c r="D387" s="3" t="s">
        <v>97</v>
      </c>
      <c r="E387" s="4" t="str">
        <f>HYPERLINK("#'业务数据类型'!A66","HsChar32")</f>
        <v>HsChar32</v>
      </c>
      <c r="F387" s="3" t="s">
        <v>45</v>
      </c>
      <c r="G387" s="6" t="s">
        <v>9</v>
      </c>
      <c r="H387" s="3" t="s">
        <v>9</v>
      </c>
    </row>
    <row r="388" ht="12.75" customHeight="1" spans="2:8">
      <c r="B388" s="5" t="s">
        <v>9</v>
      </c>
      <c r="C388" s="3" t="s">
        <v>140</v>
      </c>
      <c r="D388" s="3" t="s">
        <v>141</v>
      </c>
      <c r="E388" s="4" t="str">
        <f>HYPERLINK("#'业务数据类型'!A72","HsChar100")</f>
        <v>HsChar100</v>
      </c>
      <c r="F388" s="3" t="s">
        <v>70</v>
      </c>
      <c r="G388" s="6" t="s">
        <v>9</v>
      </c>
      <c r="H388" s="3" t="s">
        <v>9</v>
      </c>
    </row>
    <row r="389" ht="12.75" customHeight="1" spans="2:8">
      <c r="B389" s="5" t="s">
        <v>9</v>
      </c>
      <c r="C389" s="3" t="s">
        <v>142</v>
      </c>
      <c r="D389" s="3" t="s">
        <v>143</v>
      </c>
      <c r="E389" s="4" t="str">
        <f>HYPERLINK("#'业务数据类型'!A68","HsChar50")</f>
        <v>HsChar50</v>
      </c>
      <c r="F389" s="3" t="s">
        <v>70</v>
      </c>
      <c r="G389" s="6" t="s">
        <v>144</v>
      </c>
      <c r="H389" s="3" t="s">
        <v>9</v>
      </c>
    </row>
    <row r="390" ht="12.75" customHeight="1" spans="2:8">
      <c r="B390" s="5" t="s">
        <v>9</v>
      </c>
      <c r="C390" s="3" t="s">
        <v>163</v>
      </c>
      <c r="D390" s="3" t="s">
        <v>164</v>
      </c>
      <c r="E390" s="4" t="str">
        <f>HYPERLINK("#'业务数据类型'!A72","HsChar100")</f>
        <v>HsChar100</v>
      </c>
      <c r="F390" s="3" t="s">
        <v>70</v>
      </c>
      <c r="G390" s="6" t="s">
        <v>9</v>
      </c>
      <c r="H390" s="3" t="s">
        <v>9</v>
      </c>
    </row>
    <row r="391" ht="12.75" customHeight="1" spans="2:8">
      <c r="B391" s="5" t="s">
        <v>9</v>
      </c>
      <c r="C391" s="3" t="s">
        <v>161</v>
      </c>
      <c r="D391" s="3" t="s">
        <v>162</v>
      </c>
      <c r="E391" s="4" t="str">
        <f>HYPERLINK("#'业务数据类型'!A68","HsChar50")</f>
        <v>HsChar50</v>
      </c>
      <c r="F391" s="3" t="s">
        <v>70</v>
      </c>
      <c r="G391" s="6" t="s">
        <v>9</v>
      </c>
      <c r="H391" s="3" t="s">
        <v>9</v>
      </c>
    </row>
    <row r="392" ht="12.75" customHeight="1" spans="2:8">
      <c r="B392" s="5" t="s">
        <v>9</v>
      </c>
      <c r="C392" s="3" t="s">
        <v>288</v>
      </c>
      <c r="D392" s="3" t="s">
        <v>289</v>
      </c>
      <c r="E392" s="4" t="str">
        <f>HYPERLINK("#'业务数据类型'!A105","Hsnum16")</f>
        <v>Hsnum16</v>
      </c>
      <c r="F392" s="3" t="s">
        <v>70</v>
      </c>
      <c r="G392" s="6" t="s">
        <v>9</v>
      </c>
      <c r="H392" s="3" t="s">
        <v>9</v>
      </c>
    </row>
    <row r="393" ht="12.75" customHeight="1" spans="2:8">
      <c r="B393" s="5" t="s">
        <v>9</v>
      </c>
      <c r="C393" s="3" t="s">
        <v>290</v>
      </c>
      <c r="D393" s="3" t="s">
        <v>291</v>
      </c>
      <c r="E393" s="4" t="str">
        <f>HYPERLINK("#'业务数据类型'!A105","Hsnum16")</f>
        <v>Hsnum16</v>
      </c>
      <c r="F393" s="3" t="s">
        <v>70</v>
      </c>
      <c r="G393" s="6" t="s">
        <v>9</v>
      </c>
      <c r="H393" s="3" t="s">
        <v>9</v>
      </c>
    </row>
    <row r="394" ht="12.75" customHeight="1" spans="2:8">
      <c r="B394" s="5" t="s">
        <v>9</v>
      </c>
      <c r="C394" s="3" t="s">
        <v>292</v>
      </c>
      <c r="D394" s="3" t="s">
        <v>293</v>
      </c>
      <c r="E394" s="4" t="str">
        <f>HYPERLINK("#'业务数据类型'!A72","HsChar100")</f>
        <v>HsChar100</v>
      </c>
      <c r="F394" s="3" t="s">
        <v>70</v>
      </c>
      <c r="G394" s="6" t="s">
        <v>294</v>
      </c>
      <c r="H394" s="3" t="s">
        <v>9</v>
      </c>
    </row>
    <row r="395" ht="12.75" customHeight="1" spans="2:8">
      <c r="B395" s="5" t="s">
        <v>9</v>
      </c>
      <c r="C395" s="3" t="s">
        <v>117</v>
      </c>
      <c r="D395" s="3" t="s">
        <v>118</v>
      </c>
      <c r="E395" s="4" t="str">
        <f>HYPERLINK("#'业务数据类型'!A68","HsChar50")</f>
        <v>HsChar50</v>
      </c>
      <c r="F395" s="3" t="s">
        <v>70</v>
      </c>
      <c r="G395" s="6" t="s">
        <v>9</v>
      </c>
      <c r="H395" s="3" t="s">
        <v>9</v>
      </c>
    </row>
    <row r="396" ht="12.75" customHeight="1" spans="2:8">
      <c r="B396" s="5" t="s">
        <v>9</v>
      </c>
      <c r="C396" s="3" t="s">
        <v>119</v>
      </c>
      <c r="D396" s="3" t="s">
        <v>120</v>
      </c>
      <c r="E396" s="4" t="str">
        <f>HYPERLINK("#'业务数据类型'!A107","HsDateTime")</f>
        <v>HsDateTime</v>
      </c>
      <c r="F396" s="3" t="s">
        <v>70</v>
      </c>
      <c r="G396" s="6" t="s">
        <v>9</v>
      </c>
      <c r="H396" s="3" t="s">
        <v>9</v>
      </c>
    </row>
    <row r="397" ht="12.75" customHeight="1" spans="2:8">
      <c r="B397" s="5" t="s">
        <v>9</v>
      </c>
      <c r="C397" s="3" t="s">
        <v>121</v>
      </c>
      <c r="D397" s="3" t="s">
        <v>122</v>
      </c>
      <c r="E397" s="4" t="str">
        <f>HYPERLINK("#'业务数据类型'!A68","HsChar50")</f>
        <v>HsChar50</v>
      </c>
      <c r="F397" s="3" t="s">
        <v>70</v>
      </c>
      <c r="G397" s="6" t="s">
        <v>9</v>
      </c>
      <c r="H397" s="3" t="s">
        <v>9</v>
      </c>
    </row>
    <row r="398" ht="12.75" customHeight="1" spans="2:8">
      <c r="B398" s="5" t="s">
        <v>9</v>
      </c>
      <c r="C398" s="3" t="s">
        <v>123</v>
      </c>
      <c r="D398" s="3" t="s">
        <v>124</v>
      </c>
      <c r="E398" s="4" t="str">
        <f>HYPERLINK("#'业务数据类型'!A107","HsDateTime")</f>
        <v>HsDateTime</v>
      </c>
      <c r="F398" s="3" t="s">
        <v>70</v>
      </c>
      <c r="G398" s="6" t="s">
        <v>9</v>
      </c>
      <c r="H398" s="3" t="s">
        <v>9</v>
      </c>
    </row>
    <row r="399" ht="12.75" customHeight="1" spans="2:7">
      <c r="B399" s="5" t="s">
        <v>81</v>
      </c>
      <c r="C399" s="5" t="s">
        <v>82</v>
      </c>
      <c r="D399" s="5" t="s">
        <v>83</v>
      </c>
      <c r="E399" s="5" t="s">
        <v>84</v>
      </c>
      <c r="F399" s="5" t="s">
        <v>85</v>
      </c>
      <c r="G399" s="5" t="s">
        <v>86</v>
      </c>
    </row>
    <row r="400" ht="12.75" customHeight="1" spans="2:7">
      <c r="B400" s="5" t="s">
        <v>87</v>
      </c>
      <c r="C400" s="5" t="s">
        <v>88</v>
      </c>
      <c r="D400" s="5" t="s">
        <v>5</v>
      </c>
      <c r="E400" s="5" t="s">
        <v>89</v>
      </c>
      <c r="F400" s="5" t="s">
        <v>90</v>
      </c>
      <c r="G400" s="5" t="s">
        <v>91</v>
      </c>
    </row>
    <row r="401" ht="12.75" customHeight="1" spans="2:7">
      <c r="B401" s="5" t="s">
        <v>9</v>
      </c>
      <c r="C401" s="3" t="s">
        <v>295</v>
      </c>
      <c r="D401" s="3" t="s">
        <v>93</v>
      </c>
      <c r="E401" s="3" t="s">
        <v>96</v>
      </c>
      <c r="F401" s="3" t="s">
        <v>9</v>
      </c>
      <c r="G401" s="3" t="s">
        <v>9</v>
      </c>
    </row>
    <row r="402" ht="12.75" customHeight="1" spans="2:7">
      <c r="B402" s="5" t="s">
        <v>94</v>
      </c>
      <c r="C402" s="6" t="s">
        <v>9</v>
      </c>
      <c r="D402" s="6" t="s">
        <v>9</v>
      </c>
      <c r="E402" s="6" t="s">
        <v>9</v>
      </c>
      <c r="F402" s="6" t="s">
        <v>9</v>
      </c>
      <c r="G402" s="6" t="s">
        <v>9</v>
      </c>
    </row>
    <row r="405" ht="12.75" customHeight="1" spans="2:7">
      <c r="B405" s="5" t="s">
        <v>2</v>
      </c>
      <c r="C405" s="3" t="s">
        <v>9</v>
      </c>
      <c r="D405" s="3" t="s">
        <v>9</v>
      </c>
      <c r="E405" s="3" t="s">
        <v>9</v>
      </c>
      <c r="F405" s="5" t="s">
        <v>37</v>
      </c>
      <c r="G405" s="3" t="s">
        <v>9</v>
      </c>
    </row>
    <row r="406" ht="12.75" customHeight="1" spans="2:7">
      <c r="B406" s="5" t="s">
        <v>38</v>
      </c>
      <c r="C406" s="3" t="s">
        <v>296</v>
      </c>
      <c r="D406" s="5" t="s">
        <v>40</v>
      </c>
      <c r="E406" s="3" t="s">
        <v>41</v>
      </c>
      <c r="F406" s="5" t="s">
        <v>42</v>
      </c>
      <c r="G406" s="3" t="s">
        <v>9</v>
      </c>
    </row>
    <row r="407" ht="12.75" customHeight="1" spans="2:7">
      <c r="B407" s="5" t="s">
        <v>43</v>
      </c>
      <c r="C407" s="3" t="s">
        <v>28</v>
      </c>
      <c r="D407" s="5" t="s">
        <v>44</v>
      </c>
      <c r="E407" s="3" t="s">
        <v>45</v>
      </c>
      <c r="F407" s="5" t="s">
        <v>9</v>
      </c>
      <c r="G407" s="3" t="s">
        <v>9</v>
      </c>
    </row>
    <row r="408" ht="12.75" customHeight="1" spans="2:7">
      <c r="B408" s="5" t="s">
        <v>46</v>
      </c>
      <c r="C408" s="3" t="s">
        <v>9</v>
      </c>
      <c r="D408" s="5" t="s">
        <v>47</v>
      </c>
      <c r="E408" s="3" t="s">
        <v>9</v>
      </c>
      <c r="F408" s="5" t="s">
        <v>48</v>
      </c>
      <c r="G408" s="3" t="s">
        <v>9</v>
      </c>
    </row>
    <row r="409" ht="12.75" customHeight="1" spans="2:7">
      <c r="B409" s="5" t="s">
        <v>49</v>
      </c>
      <c r="C409" s="3" t="s">
        <v>45</v>
      </c>
      <c r="D409" s="5" t="s">
        <v>50</v>
      </c>
      <c r="E409" s="3" t="s">
        <v>45</v>
      </c>
      <c r="F409" s="5" t="s">
        <v>51</v>
      </c>
      <c r="G409" s="3" t="s">
        <v>45</v>
      </c>
    </row>
    <row r="410" ht="12.75" customHeight="1" spans="2:7">
      <c r="B410" s="5" t="s">
        <v>52</v>
      </c>
      <c r="C410" s="3" t="s">
        <v>9</v>
      </c>
      <c r="D410" s="5" t="s">
        <v>53</v>
      </c>
      <c r="E410" s="3" t="s">
        <v>9</v>
      </c>
      <c r="F410" s="5" t="s">
        <v>54</v>
      </c>
      <c r="G410" s="3" t="s">
        <v>9</v>
      </c>
    </row>
    <row r="411" ht="12.75" customHeight="1" spans="2:7">
      <c r="B411" s="5" t="s">
        <v>55</v>
      </c>
      <c r="C411" s="3" t="s">
        <v>9</v>
      </c>
      <c r="D411" s="5" t="s">
        <v>56</v>
      </c>
      <c r="E411" s="3" t="s">
        <v>9</v>
      </c>
      <c r="F411" s="5" t="s">
        <v>57</v>
      </c>
      <c r="G411" s="3" t="s">
        <v>9</v>
      </c>
    </row>
    <row r="412" ht="12.75" customHeight="1" spans="2:7">
      <c r="B412" s="5" t="s">
        <v>58</v>
      </c>
      <c r="C412" s="3" t="s">
        <v>9</v>
      </c>
      <c r="D412" s="5" t="s">
        <v>59</v>
      </c>
      <c r="E412" s="3" t="s">
        <v>9</v>
      </c>
      <c r="F412" s="5" t="s">
        <v>9</v>
      </c>
      <c r="G412" s="3" t="s">
        <v>9</v>
      </c>
    </row>
    <row r="413" ht="12.75" customHeight="1" spans="2:7">
      <c r="B413" s="5" t="s">
        <v>6</v>
      </c>
      <c r="C413" s="3" t="s">
        <v>9</v>
      </c>
      <c r="D413" s="3" t="s">
        <v>9</v>
      </c>
      <c r="E413" s="3" t="s">
        <v>9</v>
      </c>
      <c r="F413" s="3" t="s">
        <v>9</v>
      </c>
      <c r="G413" s="3" t="s">
        <v>9</v>
      </c>
    </row>
    <row r="414" ht="12.75" customHeight="1" spans="2:7">
      <c r="B414" s="5" t="s">
        <v>9</v>
      </c>
      <c r="C414" s="3" t="s">
        <v>9</v>
      </c>
      <c r="D414" s="3" t="s">
        <v>9</v>
      </c>
      <c r="E414" s="3" t="s">
        <v>9</v>
      </c>
      <c r="F414" s="3" t="s">
        <v>9</v>
      </c>
      <c r="G414" s="3" t="s">
        <v>9</v>
      </c>
    </row>
    <row r="415" ht="12.75" customHeight="1" spans="2:8">
      <c r="B415" s="5" t="s">
        <v>60</v>
      </c>
      <c r="C415" s="5" t="s">
        <v>61</v>
      </c>
      <c r="D415" s="5" t="s">
        <v>43</v>
      </c>
      <c r="E415" s="5" t="s">
        <v>62</v>
      </c>
      <c r="F415" s="5" t="s">
        <v>63</v>
      </c>
      <c r="G415" s="5" t="s">
        <v>64</v>
      </c>
      <c r="H415" s="5" t="s">
        <v>65</v>
      </c>
    </row>
    <row r="416" ht="12.75" customHeight="1" spans="2:8">
      <c r="B416" s="5" t="s">
        <v>9</v>
      </c>
      <c r="C416" s="3" t="s">
        <v>96</v>
      </c>
      <c r="D416" s="3" t="s">
        <v>97</v>
      </c>
      <c r="E416" s="4" t="str">
        <f>HYPERLINK("#'业务数据类型'!A66","HsChar32")</f>
        <v>HsChar32</v>
      </c>
      <c r="F416" s="3" t="s">
        <v>45</v>
      </c>
      <c r="G416" s="6" t="s">
        <v>9</v>
      </c>
      <c r="H416" s="3" t="s">
        <v>9</v>
      </c>
    </row>
    <row r="417" ht="12.75" customHeight="1" spans="2:8">
      <c r="B417" s="5" t="s">
        <v>9</v>
      </c>
      <c r="C417" s="3" t="s">
        <v>140</v>
      </c>
      <c r="D417" s="3" t="s">
        <v>141</v>
      </c>
      <c r="E417" s="4" t="str">
        <f>HYPERLINK("#'业务数据类型'!A72","HsChar100")</f>
        <v>HsChar100</v>
      </c>
      <c r="F417" s="3" t="s">
        <v>70</v>
      </c>
      <c r="G417" s="6" t="s">
        <v>9</v>
      </c>
      <c r="H417" s="3" t="s">
        <v>9</v>
      </c>
    </row>
    <row r="418" ht="12.75" customHeight="1" spans="2:8">
      <c r="B418" s="5" t="s">
        <v>9</v>
      </c>
      <c r="C418" s="3" t="s">
        <v>142</v>
      </c>
      <c r="D418" s="3" t="s">
        <v>143</v>
      </c>
      <c r="E418" s="4" t="str">
        <f>HYPERLINK("#'业务数据类型'!A68","HsChar50")</f>
        <v>HsChar50</v>
      </c>
      <c r="F418" s="3" t="s">
        <v>70</v>
      </c>
      <c r="G418" s="6" t="s">
        <v>144</v>
      </c>
      <c r="H418" s="3" t="s">
        <v>9</v>
      </c>
    </row>
    <row r="419" ht="12.75" customHeight="1" spans="2:8">
      <c r="B419" s="5" t="s">
        <v>9</v>
      </c>
      <c r="C419" s="3" t="s">
        <v>163</v>
      </c>
      <c r="D419" s="3" t="s">
        <v>164</v>
      </c>
      <c r="E419" s="4" t="str">
        <f>HYPERLINK("#'业务数据类型'!A72","HsChar100")</f>
        <v>HsChar100</v>
      </c>
      <c r="F419" s="3" t="s">
        <v>70</v>
      </c>
      <c r="G419" s="6" t="s">
        <v>9</v>
      </c>
      <c r="H419" s="3" t="s">
        <v>9</v>
      </c>
    </row>
    <row r="420" ht="12.75" customHeight="1" spans="2:8">
      <c r="B420" s="5" t="s">
        <v>9</v>
      </c>
      <c r="C420" s="3" t="s">
        <v>181</v>
      </c>
      <c r="D420" s="3" t="s">
        <v>182</v>
      </c>
      <c r="E420" s="4" t="str">
        <f>HYPERLINK("#'业务数据类型'!A107","HsDateTime")</f>
        <v>HsDateTime</v>
      </c>
      <c r="F420" s="3" t="s">
        <v>70</v>
      </c>
      <c r="G420" s="6" t="s">
        <v>9</v>
      </c>
      <c r="H420" s="3" t="s">
        <v>9</v>
      </c>
    </row>
    <row r="421" ht="12.75" customHeight="1" spans="2:8">
      <c r="B421" s="5" t="s">
        <v>9</v>
      </c>
      <c r="C421" s="3" t="s">
        <v>297</v>
      </c>
      <c r="D421" s="3" t="s">
        <v>298</v>
      </c>
      <c r="E421" s="4" t="str">
        <f>HYPERLINK("#'业务数据类型'!A105","Hsnum16")</f>
        <v>Hsnum16</v>
      </c>
      <c r="F421" s="3" t="s">
        <v>70</v>
      </c>
      <c r="G421" s="6" t="s">
        <v>9</v>
      </c>
      <c r="H421" s="3" t="s">
        <v>9</v>
      </c>
    </row>
    <row r="422" ht="12.75" customHeight="1" spans="2:8">
      <c r="B422" s="5" t="s">
        <v>9</v>
      </c>
      <c r="C422" s="3" t="s">
        <v>299</v>
      </c>
      <c r="D422" s="3" t="s">
        <v>300</v>
      </c>
      <c r="E422" s="4" t="str">
        <f>HYPERLINK("#'业务数据类型'!A105","Hsnum16")</f>
        <v>Hsnum16</v>
      </c>
      <c r="F422" s="3" t="s">
        <v>70</v>
      </c>
      <c r="G422" s="6" t="s">
        <v>9</v>
      </c>
      <c r="H422" s="3" t="s">
        <v>9</v>
      </c>
    </row>
    <row r="423" ht="12.75" customHeight="1" spans="2:8">
      <c r="B423" s="5" t="s">
        <v>9</v>
      </c>
      <c r="C423" s="3" t="s">
        <v>250</v>
      </c>
      <c r="D423" s="3" t="s">
        <v>251</v>
      </c>
      <c r="E423" s="4" t="str">
        <f>HYPERLINK("#'业务数据类型'!A72","HsChar100")</f>
        <v>HsChar100</v>
      </c>
      <c r="F423" s="3" t="s">
        <v>70</v>
      </c>
      <c r="G423" s="6" t="s">
        <v>252</v>
      </c>
      <c r="H423" s="3" t="s">
        <v>9</v>
      </c>
    </row>
    <row r="424" ht="12.75" customHeight="1" spans="2:8">
      <c r="B424" s="5" t="s">
        <v>9</v>
      </c>
      <c r="C424" s="3" t="s">
        <v>301</v>
      </c>
      <c r="D424" s="3" t="s">
        <v>302</v>
      </c>
      <c r="E424" s="4" t="str">
        <f>HYPERLINK("#'业务数据类型'!A7","HsStatus")</f>
        <v>HsStatus</v>
      </c>
      <c r="F424" s="3" t="s">
        <v>70</v>
      </c>
      <c r="G424" s="6" t="s">
        <v>9</v>
      </c>
      <c r="H424" s="3" t="s">
        <v>9</v>
      </c>
    </row>
    <row r="425" ht="12.75" customHeight="1" spans="2:8">
      <c r="B425" s="5" t="s">
        <v>9</v>
      </c>
      <c r="C425" s="3" t="s">
        <v>161</v>
      </c>
      <c r="D425" s="3" t="s">
        <v>162</v>
      </c>
      <c r="E425" s="4" t="str">
        <f>HYPERLINK("#'业务数据类型'!A68","HsChar50")</f>
        <v>HsChar50</v>
      </c>
      <c r="F425" s="3" t="s">
        <v>70</v>
      </c>
      <c r="G425" s="6" t="s">
        <v>9</v>
      </c>
      <c r="H425" s="3" t="s">
        <v>9</v>
      </c>
    </row>
    <row r="426" ht="12.75" customHeight="1" spans="2:8">
      <c r="B426" s="5" t="s">
        <v>9</v>
      </c>
      <c r="C426" s="3" t="s">
        <v>185</v>
      </c>
      <c r="D426" s="3" t="s">
        <v>64</v>
      </c>
      <c r="E426" s="4" t="str">
        <f>HYPERLINK("#'业务数据类型'!A82","HsAbstract")</f>
        <v>HsAbstract</v>
      </c>
      <c r="F426" s="3" t="s">
        <v>70</v>
      </c>
      <c r="G426" s="6" t="s">
        <v>110</v>
      </c>
      <c r="H426" s="3" t="s">
        <v>9</v>
      </c>
    </row>
    <row r="427" ht="12.75" customHeight="1" spans="2:8">
      <c r="B427" s="5" t="s">
        <v>9</v>
      </c>
      <c r="C427" s="3" t="s">
        <v>222</v>
      </c>
      <c r="D427" s="3" t="s">
        <v>223</v>
      </c>
      <c r="E427" s="4" t="str">
        <f>HYPERLINK("#'业务数据类型'!A83","HsChar1000")</f>
        <v>HsChar1000</v>
      </c>
      <c r="F427" s="3" t="s">
        <v>70</v>
      </c>
      <c r="G427" s="6" t="s">
        <v>224</v>
      </c>
      <c r="H427" s="3" t="s">
        <v>9</v>
      </c>
    </row>
    <row r="428" ht="12.75" customHeight="1" spans="2:8">
      <c r="B428" s="5" t="s">
        <v>9</v>
      </c>
      <c r="C428" s="3" t="s">
        <v>213</v>
      </c>
      <c r="D428" s="3" t="s">
        <v>214</v>
      </c>
      <c r="E428" s="4" t="str">
        <f>HYPERLINK("#'业务数据类型'!A40","HsChar10")</f>
        <v>HsChar10</v>
      </c>
      <c r="F428" s="3" t="s">
        <v>70</v>
      </c>
      <c r="G428" s="6" t="s">
        <v>215</v>
      </c>
      <c r="H428" s="3" t="s">
        <v>9</v>
      </c>
    </row>
    <row r="429" ht="12.75" customHeight="1" spans="2:8">
      <c r="B429" s="5" t="s">
        <v>9</v>
      </c>
      <c r="C429" s="3" t="s">
        <v>117</v>
      </c>
      <c r="D429" s="3" t="s">
        <v>118</v>
      </c>
      <c r="E429" s="4" t="str">
        <f>HYPERLINK("#'业务数据类型'!A68","HsChar50")</f>
        <v>HsChar50</v>
      </c>
      <c r="F429" s="3" t="s">
        <v>70</v>
      </c>
      <c r="G429" s="6" t="s">
        <v>9</v>
      </c>
      <c r="H429" s="3" t="s">
        <v>9</v>
      </c>
    </row>
    <row r="430" ht="12.75" customHeight="1" spans="2:8">
      <c r="B430" s="5" t="s">
        <v>9</v>
      </c>
      <c r="C430" s="3" t="s">
        <v>119</v>
      </c>
      <c r="D430" s="3" t="s">
        <v>120</v>
      </c>
      <c r="E430" s="4" t="str">
        <f>HYPERLINK("#'业务数据类型'!A107","HsDateTime")</f>
        <v>HsDateTime</v>
      </c>
      <c r="F430" s="3" t="s">
        <v>70</v>
      </c>
      <c r="G430" s="6" t="s">
        <v>9</v>
      </c>
      <c r="H430" s="3" t="s">
        <v>9</v>
      </c>
    </row>
    <row r="431" ht="12.75" customHeight="1" spans="2:8">
      <c r="B431" s="5" t="s">
        <v>9</v>
      </c>
      <c r="C431" s="3" t="s">
        <v>121</v>
      </c>
      <c r="D431" s="3" t="s">
        <v>122</v>
      </c>
      <c r="E431" s="4" t="str">
        <f>HYPERLINK("#'业务数据类型'!A68","HsChar50")</f>
        <v>HsChar50</v>
      </c>
      <c r="F431" s="3" t="s">
        <v>70</v>
      </c>
      <c r="G431" s="6" t="s">
        <v>9</v>
      </c>
      <c r="H431" s="3" t="s">
        <v>9</v>
      </c>
    </row>
    <row r="432" ht="12.75" customHeight="1" spans="2:8">
      <c r="B432" s="5" t="s">
        <v>9</v>
      </c>
      <c r="C432" s="3" t="s">
        <v>123</v>
      </c>
      <c r="D432" s="3" t="s">
        <v>124</v>
      </c>
      <c r="E432" s="4" t="str">
        <f>HYPERLINK("#'业务数据类型'!A107","HsDateTime")</f>
        <v>HsDateTime</v>
      </c>
      <c r="F432" s="3" t="s">
        <v>70</v>
      </c>
      <c r="G432" s="6" t="s">
        <v>9</v>
      </c>
      <c r="H432" s="3" t="s">
        <v>9</v>
      </c>
    </row>
    <row r="433" ht="12.75" customHeight="1" spans="2:7">
      <c r="B433" s="5" t="s">
        <v>81</v>
      </c>
      <c r="C433" s="5" t="s">
        <v>82</v>
      </c>
      <c r="D433" s="5" t="s">
        <v>83</v>
      </c>
      <c r="E433" s="5" t="s">
        <v>84</v>
      </c>
      <c r="F433" s="5" t="s">
        <v>85</v>
      </c>
      <c r="G433" s="5" t="s">
        <v>86</v>
      </c>
    </row>
    <row r="434" ht="12.75" customHeight="1" spans="2:7">
      <c r="B434" s="5" t="s">
        <v>87</v>
      </c>
      <c r="C434" s="5" t="s">
        <v>88</v>
      </c>
      <c r="D434" s="5" t="s">
        <v>5</v>
      </c>
      <c r="E434" s="5" t="s">
        <v>89</v>
      </c>
      <c r="F434" s="5" t="s">
        <v>90</v>
      </c>
      <c r="G434" s="5" t="s">
        <v>91</v>
      </c>
    </row>
    <row r="435" ht="12.75" customHeight="1" spans="2:7">
      <c r="B435" s="5" t="s">
        <v>9</v>
      </c>
      <c r="C435" s="3" t="s">
        <v>127</v>
      </c>
      <c r="D435" s="3" t="s">
        <v>93</v>
      </c>
      <c r="E435" s="3" t="s">
        <v>96</v>
      </c>
      <c r="F435" s="3" t="s">
        <v>9</v>
      </c>
      <c r="G435" s="3" t="s">
        <v>9</v>
      </c>
    </row>
    <row r="436" ht="12.75" customHeight="1" spans="2:7">
      <c r="B436" s="5" t="s">
        <v>94</v>
      </c>
      <c r="C436" s="6" t="s">
        <v>9</v>
      </c>
      <c r="D436" s="6" t="s">
        <v>9</v>
      </c>
      <c r="E436" s="6" t="s">
        <v>9</v>
      </c>
      <c r="F436" s="6" t="s">
        <v>9</v>
      </c>
      <c r="G436" s="6" t="s">
        <v>9</v>
      </c>
    </row>
    <row r="439" ht="12.75" customHeight="1" spans="2:7">
      <c r="B439" s="5" t="s">
        <v>2</v>
      </c>
      <c r="C439" s="3" t="s">
        <v>9</v>
      </c>
      <c r="D439" s="3" t="s">
        <v>9</v>
      </c>
      <c r="E439" s="3" t="s">
        <v>9</v>
      </c>
      <c r="F439" s="5" t="s">
        <v>37</v>
      </c>
      <c r="G439" s="3" t="s">
        <v>9</v>
      </c>
    </row>
    <row r="440" ht="12.75" customHeight="1" spans="2:7">
      <c r="B440" s="5" t="s">
        <v>38</v>
      </c>
      <c r="C440" s="3" t="s">
        <v>303</v>
      </c>
      <c r="D440" s="5" t="s">
        <v>40</v>
      </c>
      <c r="E440" s="3" t="s">
        <v>41</v>
      </c>
      <c r="F440" s="5" t="s">
        <v>42</v>
      </c>
      <c r="G440" s="3" t="s">
        <v>9</v>
      </c>
    </row>
    <row r="441" ht="12.75" customHeight="1" spans="2:7">
      <c r="B441" s="5" t="s">
        <v>43</v>
      </c>
      <c r="C441" s="3" t="s">
        <v>29</v>
      </c>
      <c r="D441" s="5" t="s">
        <v>44</v>
      </c>
      <c r="E441" s="3" t="s">
        <v>45</v>
      </c>
      <c r="F441" s="5" t="s">
        <v>9</v>
      </c>
      <c r="G441" s="3" t="s">
        <v>9</v>
      </c>
    </row>
    <row r="442" ht="12.75" customHeight="1" spans="2:7">
      <c r="B442" s="5" t="s">
        <v>46</v>
      </c>
      <c r="C442" s="3" t="s">
        <v>9</v>
      </c>
      <c r="D442" s="5" t="s">
        <v>47</v>
      </c>
      <c r="E442" s="3" t="s">
        <v>9</v>
      </c>
      <c r="F442" s="5" t="s">
        <v>48</v>
      </c>
      <c r="G442" s="3" t="s">
        <v>9</v>
      </c>
    </row>
    <row r="443" ht="12.75" customHeight="1" spans="2:7">
      <c r="B443" s="5" t="s">
        <v>49</v>
      </c>
      <c r="C443" s="3" t="s">
        <v>45</v>
      </c>
      <c r="D443" s="5" t="s">
        <v>50</v>
      </c>
      <c r="E443" s="3" t="s">
        <v>45</v>
      </c>
      <c r="F443" s="5" t="s">
        <v>51</v>
      </c>
      <c r="G443" s="3" t="s">
        <v>45</v>
      </c>
    </row>
    <row r="444" ht="12.75" customHeight="1" spans="2:7">
      <c r="B444" s="5" t="s">
        <v>52</v>
      </c>
      <c r="C444" s="3" t="s">
        <v>9</v>
      </c>
      <c r="D444" s="5" t="s">
        <v>53</v>
      </c>
      <c r="E444" s="3" t="s">
        <v>9</v>
      </c>
      <c r="F444" s="5" t="s">
        <v>54</v>
      </c>
      <c r="G444" s="3" t="s">
        <v>9</v>
      </c>
    </row>
    <row r="445" ht="12.75" customHeight="1" spans="2:7">
      <c r="B445" s="5" t="s">
        <v>55</v>
      </c>
      <c r="C445" s="3" t="s">
        <v>9</v>
      </c>
      <c r="D445" s="5" t="s">
        <v>56</v>
      </c>
      <c r="E445" s="3" t="s">
        <v>9</v>
      </c>
      <c r="F445" s="5" t="s">
        <v>57</v>
      </c>
      <c r="G445" s="3" t="s">
        <v>9</v>
      </c>
    </row>
    <row r="446" ht="12.75" customHeight="1" spans="2:7">
      <c r="B446" s="5" t="s">
        <v>58</v>
      </c>
      <c r="C446" s="3" t="s">
        <v>9</v>
      </c>
      <c r="D446" s="5" t="s">
        <v>59</v>
      </c>
      <c r="E446" s="3" t="s">
        <v>9</v>
      </c>
      <c r="F446" s="5" t="s">
        <v>9</v>
      </c>
      <c r="G446" s="3" t="s">
        <v>9</v>
      </c>
    </row>
    <row r="447" ht="12.75" customHeight="1" spans="2:7">
      <c r="B447" s="5" t="s">
        <v>6</v>
      </c>
      <c r="C447" s="3" t="s">
        <v>9</v>
      </c>
      <c r="D447" s="3" t="s">
        <v>9</v>
      </c>
      <c r="E447" s="3" t="s">
        <v>9</v>
      </c>
      <c r="F447" s="3" t="s">
        <v>9</v>
      </c>
      <c r="G447" s="3" t="s">
        <v>9</v>
      </c>
    </row>
    <row r="448" ht="12.75" customHeight="1" spans="2:7">
      <c r="B448" s="5" t="s">
        <v>9</v>
      </c>
      <c r="C448" s="3" t="s">
        <v>9</v>
      </c>
      <c r="D448" s="3" t="s">
        <v>9</v>
      </c>
      <c r="E448" s="3" t="s">
        <v>9</v>
      </c>
      <c r="F448" s="3" t="s">
        <v>9</v>
      </c>
      <c r="G448" s="3" t="s">
        <v>9</v>
      </c>
    </row>
    <row r="449" ht="12.75" customHeight="1" spans="2:8">
      <c r="B449" s="5" t="s">
        <v>60</v>
      </c>
      <c r="C449" s="5" t="s">
        <v>61</v>
      </c>
      <c r="D449" s="5" t="s">
        <v>43</v>
      </c>
      <c r="E449" s="5" t="s">
        <v>62</v>
      </c>
      <c r="F449" s="5" t="s">
        <v>63</v>
      </c>
      <c r="G449" s="5" t="s">
        <v>64</v>
      </c>
      <c r="H449" s="5" t="s">
        <v>65</v>
      </c>
    </row>
    <row r="450" ht="12.75" customHeight="1" spans="2:8">
      <c r="B450" s="5" t="s">
        <v>9</v>
      </c>
      <c r="C450" s="3" t="s">
        <v>96</v>
      </c>
      <c r="D450" s="3" t="s">
        <v>97</v>
      </c>
      <c r="E450" s="4" t="str">
        <f>HYPERLINK("#'业务数据类型'!A66","HsChar32")</f>
        <v>HsChar32</v>
      </c>
      <c r="F450" s="3" t="s">
        <v>70</v>
      </c>
      <c r="G450" s="6" t="s">
        <v>9</v>
      </c>
      <c r="H450" s="3" t="s">
        <v>9</v>
      </c>
    </row>
    <row r="451" ht="12.75" customHeight="1" spans="2:8">
      <c r="B451" s="5" t="s">
        <v>9</v>
      </c>
      <c r="C451" s="3" t="s">
        <v>125</v>
      </c>
      <c r="D451" s="3" t="s">
        <v>126</v>
      </c>
      <c r="E451" s="4" t="str">
        <f>HYPERLINK("#'业务数据类型'!A68","HsChar50")</f>
        <v>HsChar50</v>
      </c>
      <c r="F451" s="3" t="s">
        <v>45</v>
      </c>
      <c r="G451" s="6" t="s">
        <v>9</v>
      </c>
      <c r="H451" s="3" t="s">
        <v>9</v>
      </c>
    </row>
    <row r="452" ht="12.75" customHeight="1" spans="2:8">
      <c r="B452" s="5" t="s">
        <v>9</v>
      </c>
      <c r="C452" s="3" t="s">
        <v>304</v>
      </c>
      <c r="D452" s="3" t="s">
        <v>305</v>
      </c>
      <c r="E452" s="4" t="str">
        <f>HYPERLINK("#'业务数据类型'!A85","HsChar4000")</f>
        <v>HsChar4000</v>
      </c>
      <c r="F452" s="3" t="s">
        <v>70</v>
      </c>
      <c r="G452" s="6" t="s">
        <v>9</v>
      </c>
      <c r="H452" s="3" t="s">
        <v>9</v>
      </c>
    </row>
    <row r="453" ht="12.75" customHeight="1" spans="2:8">
      <c r="B453" s="5" t="s">
        <v>9</v>
      </c>
      <c r="C453" s="3" t="s">
        <v>306</v>
      </c>
      <c r="D453" s="3" t="s">
        <v>307</v>
      </c>
      <c r="E453" s="4" t="str">
        <f>HYPERLINK("#'业务数据类型'!A85","HsChar4000")</f>
        <v>HsChar4000</v>
      </c>
      <c r="F453" s="3" t="s">
        <v>70</v>
      </c>
      <c r="G453" s="6" t="s">
        <v>9</v>
      </c>
      <c r="H453" s="3" t="s">
        <v>9</v>
      </c>
    </row>
    <row r="454" ht="12.75" customHeight="1" spans="2:8">
      <c r="B454" s="5" t="s">
        <v>9</v>
      </c>
      <c r="C454" s="3" t="s">
        <v>308</v>
      </c>
      <c r="D454" s="3" t="s">
        <v>309</v>
      </c>
      <c r="E454" s="4" t="str">
        <f>HYPERLINK("#'业务数据类型'!A72","HsChar100")</f>
        <v>HsChar100</v>
      </c>
      <c r="F454" s="3" t="s">
        <v>70</v>
      </c>
      <c r="G454" s="6" t="s">
        <v>9</v>
      </c>
      <c r="H454" s="3" t="s">
        <v>9</v>
      </c>
    </row>
    <row r="455" ht="12.75" customHeight="1" spans="2:8">
      <c r="B455" s="5" t="s">
        <v>9</v>
      </c>
      <c r="C455" s="3" t="s">
        <v>310</v>
      </c>
      <c r="D455" s="3" t="s">
        <v>311</v>
      </c>
      <c r="E455" s="4" t="str">
        <f>HYPERLINK("#'业务数据类型'!A85","HsChar4000")</f>
        <v>HsChar4000</v>
      </c>
      <c r="F455" s="3" t="s">
        <v>70</v>
      </c>
      <c r="G455" s="6" t="s">
        <v>9</v>
      </c>
      <c r="H455" s="3" t="s">
        <v>9</v>
      </c>
    </row>
    <row r="456" ht="12.75" customHeight="1" spans="2:8">
      <c r="B456" s="5" t="s">
        <v>9</v>
      </c>
      <c r="C456" s="3" t="s">
        <v>312</v>
      </c>
      <c r="D456" s="3" t="s">
        <v>313</v>
      </c>
      <c r="E456" s="4" t="str">
        <f>HYPERLINK("#'业务数据类型'!A85","HsChar4000")</f>
        <v>HsChar4000</v>
      </c>
      <c r="F456" s="3" t="s">
        <v>70</v>
      </c>
      <c r="G456" s="6" t="s">
        <v>9</v>
      </c>
      <c r="H456" s="3" t="s">
        <v>9</v>
      </c>
    </row>
    <row r="457" ht="12.75" customHeight="1" spans="2:8">
      <c r="B457" s="5" t="s">
        <v>9</v>
      </c>
      <c r="C457" s="3" t="s">
        <v>161</v>
      </c>
      <c r="D457" s="3" t="s">
        <v>162</v>
      </c>
      <c r="E457" s="4" t="str">
        <f>HYPERLINK("#'业务数据类型'!A68","HsChar50")</f>
        <v>HsChar50</v>
      </c>
      <c r="F457" s="3" t="s">
        <v>70</v>
      </c>
      <c r="G457" s="6" t="s">
        <v>9</v>
      </c>
      <c r="H457" s="3" t="s">
        <v>9</v>
      </c>
    </row>
    <row r="458" ht="12.75" customHeight="1" spans="2:8">
      <c r="B458" s="5" t="s">
        <v>9</v>
      </c>
      <c r="C458" s="3" t="s">
        <v>314</v>
      </c>
      <c r="D458" s="3" t="s">
        <v>315</v>
      </c>
      <c r="E458" s="4" t="str">
        <f>HYPERLINK("#'业务数据类型'!A27","HsAmount")</f>
        <v>HsAmount</v>
      </c>
      <c r="F458" s="3" t="s">
        <v>70</v>
      </c>
      <c r="G458" s="6" t="s">
        <v>9</v>
      </c>
      <c r="H458" s="3" t="s">
        <v>9</v>
      </c>
    </row>
    <row r="459" ht="12.75" customHeight="1" spans="2:8">
      <c r="B459" s="5" t="s">
        <v>9</v>
      </c>
      <c r="C459" s="3" t="s">
        <v>316</v>
      </c>
      <c r="D459" s="3" t="s">
        <v>317</v>
      </c>
      <c r="E459" s="4" t="str">
        <f>HYPERLINK("#'业务数据类型'!A107","HsDateTime")</f>
        <v>HsDateTime</v>
      </c>
      <c r="F459" s="3" t="s">
        <v>70</v>
      </c>
      <c r="G459" s="6" t="s">
        <v>9</v>
      </c>
      <c r="H459" s="3" t="s">
        <v>9</v>
      </c>
    </row>
    <row r="460" ht="12.75" customHeight="1" spans="2:8">
      <c r="B460" s="5" t="s">
        <v>9</v>
      </c>
      <c r="C460" s="3" t="s">
        <v>318</v>
      </c>
      <c r="D460" s="3" t="s">
        <v>319</v>
      </c>
      <c r="E460" s="4" t="str">
        <f>HYPERLINK("#'业务数据类型'!A105","Hsnum16")</f>
        <v>Hsnum16</v>
      </c>
      <c r="F460" s="3" t="s">
        <v>70</v>
      </c>
      <c r="G460" s="6" t="s">
        <v>9</v>
      </c>
      <c r="H460" s="3" t="s">
        <v>9</v>
      </c>
    </row>
    <row r="461" ht="12.75" customHeight="1" spans="2:8">
      <c r="B461" s="5" t="s">
        <v>9</v>
      </c>
      <c r="C461" s="3" t="s">
        <v>320</v>
      </c>
      <c r="D461" s="3" t="s">
        <v>321</v>
      </c>
      <c r="E461" s="4" t="str">
        <f>HYPERLINK("#'业务数据类型'!A105","Hsnum16")</f>
        <v>Hsnum16</v>
      </c>
      <c r="F461" s="3" t="s">
        <v>70</v>
      </c>
      <c r="G461" s="6" t="s">
        <v>9</v>
      </c>
      <c r="H461" s="3" t="s">
        <v>9</v>
      </c>
    </row>
    <row r="462" ht="12.75" customHeight="1" spans="2:8">
      <c r="B462" s="5" t="s">
        <v>9</v>
      </c>
      <c r="C462" s="3" t="s">
        <v>322</v>
      </c>
      <c r="D462" s="3" t="s">
        <v>323</v>
      </c>
      <c r="E462" s="4" t="str">
        <f>HYPERLINK("#'业务数据类型'!A105","Hsnum16")</f>
        <v>Hsnum16</v>
      </c>
      <c r="F462" s="3" t="s">
        <v>70</v>
      </c>
      <c r="G462" s="6" t="s">
        <v>9</v>
      </c>
      <c r="H462" s="3" t="s">
        <v>9</v>
      </c>
    </row>
    <row r="463" ht="12.75" customHeight="1" spans="2:8">
      <c r="B463" s="5" t="s">
        <v>9</v>
      </c>
      <c r="C463" s="3" t="s">
        <v>324</v>
      </c>
      <c r="D463" s="3" t="s">
        <v>325</v>
      </c>
      <c r="E463" s="4" t="str">
        <f>HYPERLINK("#'业务数据类型'!A107","HsDateTime")</f>
        <v>HsDateTime</v>
      </c>
      <c r="F463" s="3" t="s">
        <v>70</v>
      </c>
      <c r="G463" s="6" t="s">
        <v>9</v>
      </c>
      <c r="H463" s="3" t="s">
        <v>9</v>
      </c>
    </row>
    <row r="464" ht="12.75" customHeight="1" spans="2:8">
      <c r="B464" s="5" t="s">
        <v>9</v>
      </c>
      <c r="C464" s="3" t="s">
        <v>250</v>
      </c>
      <c r="D464" s="3" t="s">
        <v>251</v>
      </c>
      <c r="E464" s="4" t="str">
        <f>HYPERLINK("#'业务数据类型'!A72","HsChar100")</f>
        <v>HsChar100</v>
      </c>
      <c r="F464" s="3" t="s">
        <v>70</v>
      </c>
      <c r="G464" s="6" t="s">
        <v>252</v>
      </c>
      <c r="H464" s="3" t="s">
        <v>9</v>
      </c>
    </row>
    <row r="465" ht="12.75" customHeight="1" spans="2:8">
      <c r="B465" s="5" t="s">
        <v>9</v>
      </c>
      <c r="C465" s="3" t="s">
        <v>213</v>
      </c>
      <c r="D465" s="3" t="s">
        <v>214</v>
      </c>
      <c r="E465" s="4" t="str">
        <f>HYPERLINK("#'业务数据类型'!A40","HsChar10")</f>
        <v>HsChar10</v>
      </c>
      <c r="F465" s="3" t="s">
        <v>70</v>
      </c>
      <c r="G465" s="6" t="s">
        <v>215</v>
      </c>
      <c r="H465" s="3" t="s">
        <v>9</v>
      </c>
    </row>
    <row r="466" ht="12.75" customHeight="1" spans="2:8">
      <c r="B466" s="5" t="s">
        <v>9</v>
      </c>
      <c r="C466" s="3" t="s">
        <v>326</v>
      </c>
      <c r="D466" s="3" t="s">
        <v>327</v>
      </c>
      <c r="E466" s="4" t="str">
        <f>HYPERLINK("#'业务数据类型'!A68","HsChar50")</f>
        <v>HsChar50</v>
      </c>
      <c r="F466" s="3" t="s">
        <v>70</v>
      </c>
      <c r="G466" s="6" t="s">
        <v>328</v>
      </c>
      <c r="H466" s="3" t="s">
        <v>9</v>
      </c>
    </row>
    <row r="467" ht="12.75" customHeight="1" spans="2:8">
      <c r="B467" s="5" t="s">
        <v>9</v>
      </c>
      <c r="C467" s="3" t="s">
        <v>329</v>
      </c>
      <c r="D467" s="3" t="s">
        <v>330</v>
      </c>
      <c r="E467" s="4" t="str">
        <f>HYPERLINK("#'业务数据类型'!A68","HsChar50")</f>
        <v>HsChar50</v>
      </c>
      <c r="F467" s="3" t="s">
        <v>70</v>
      </c>
      <c r="G467" s="6" t="s">
        <v>331</v>
      </c>
      <c r="H467" s="3" t="s">
        <v>9</v>
      </c>
    </row>
    <row r="468" ht="12.75" customHeight="1" spans="2:8">
      <c r="B468" s="5" t="s">
        <v>9</v>
      </c>
      <c r="C468" s="3" t="s">
        <v>117</v>
      </c>
      <c r="D468" s="3" t="s">
        <v>118</v>
      </c>
      <c r="E468" s="4" t="str">
        <f>HYPERLINK("#'业务数据类型'!A68","HsChar50")</f>
        <v>HsChar50</v>
      </c>
      <c r="F468" s="3" t="s">
        <v>70</v>
      </c>
      <c r="G468" s="6" t="s">
        <v>9</v>
      </c>
      <c r="H468" s="3" t="s">
        <v>9</v>
      </c>
    </row>
    <row r="469" ht="12.75" customHeight="1" spans="2:8">
      <c r="B469" s="5" t="s">
        <v>9</v>
      </c>
      <c r="C469" s="3" t="s">
        <v>119</v>
      </c>
      <c r="D469" s="3" t="s">
        <v>120</v>
      </c>
      <c r="E469" s="4" t="str">
        <f>HYPERLINK("#'业务数据类型'!A107","HsDateTime")</f>
        <v>HsDateTime</v>
      </c>
      <c r="F469" s="3" t="s">
        <v>70</v>
      </c>
      <c r="G469" s="6" t="s">
        <v>9</v>
      </c>
      <c r="H469" s="3" t="s">
        <v>9</v>
      </c>
    </row>
    <row r="470" ht="12.75" customHeight="1" spans="2:8">
      <c r="B470" s="5" t="s">
        <v>9</v>
      </c>
      <c r="C470" s="3" t="s">
        <v>121</v>
      </c>
      <c r="D470" s="3" t="s">
        <v>122</v>
      </c>
      <c r="E470" s="4" t="str">
        <f>HYPERLINK("#'业务数据类型'!A68","HsChar50")</f>
        <v>HsChar50</v>
      </c>
      <c r="F470" s="3" t="s">
        <v>70</v>
      </c>
      <c r="G470" s="6" t="s">
        <v>9</v>
      </c>
      <c r="H470" s="3" t="s">
        <v>9</v>
      </c>
    </row>
    <row r="471" ht="12.75" customHeight="1" spans="2:8">
      <c r="B471" s="5" t="s">
        <v>9</v>
      </c>
      <c r="C471" s="3" t="s">
        <v>123</v>
      </c>
      <c r="D471" s="3" t="s">
        <v>124</v>
      </c>
      <c r="E471" s="4" t="str">
        <f>HYPERLINK("#'业务数据类型'!A107","HsDateTime")</f>
        <v>HsDateTime</v>
      </c>
      <c r="F471" s="3" t="s">
        <v>70</v>
      </c>
      <c r="G471" s="6" t="s">
        <v>9</v>
      </c>
      <c r="H471" s="3" t="s">
        <v>9</v>
      </c>
    </row>
    <row r="472" ht="12.75" customHeight="1" spans="2:8">
      <c r="B472" s="5" t="s">
        <v>9</v>
      </c>
      <c r="C472" s="3" t="s">
        <v>332</v>
      </c>
      <c r="D472" s="3" t="s">
        <v>333</v>
      </c>
      <c r="E472" s="4" t="str">
        <f>HYPERLINK("#'业务数据类型'!A107","HsDateTime")</f>
        <v>HsDateTime</v>
      </c>
      <c r="F472" s="3" t="s">
        <v>70</v>
      </c>
      <c r="G472" s="6" t="s">
        <v>9</v>
      </c>
      <c r="H472" s="3" t="s">
        <v>9</v>
      </c>
    </row>
    <row r="473" ht="12.75" customHeight="1" spans="2:8">
      <c r="B473" s="5" t="s">
        <v>9</v>
      </c>
      <c r="C473" s="3" t="s">
        <v>334</v>
      </c>
      <c r="D473" s="3" t="s">
        <v>335</v>
      </c>
      <c r="E473" s="4" t="str">
        <f>HYPERLINK("#'业务数据类型'!A72","HsChar100")</f>
        <v>HsChar100</v>
      </c>
      <c r="F473" s="3" t="s">
        <v>70</v>
      </c>
      <c r="G473" s="6" t="s">
        <v>9</v>
      </c>
      <c r="H473" s="3" t="s">
        <v>9</v>
      </c>
    </row>
    <row r="474" ht="12.75" customHeight="1" spans="2:8">
      <c r="B474" s="5" t="s">
        <v>9</v>
      </c>
      <c r="C474" s="3" t="s">
        <v>185</v>
      </c>
      <c r="D474" s="3" t="s">
        <v>64</v>
      </c>
      <c r="E474" s="4" t="str">
        <f>HYPERLINK("#'业务数据类型'!A82","HsAbstract")</f>
        <v>HsAbstract</v>
      </c>
      <c r="F474" s="3" t="s">
        <v>70</v>
      </c>
      <c r="G474" s="6" t="s">
        <v>110</v>
      </c>
      <c r="H474" s="3" t="s">
        <v>9</v>
      </c>
    </row>
    <row r="475" ht="12.75" customHeight="1" spans="2:8">
      <c r="B475" s="5" t="s">
        <v>9</v>
      </c>
      <c r="C475" s="3" t="s">
        <v>222</v>
      </c>
      <c r="D475" s="3" t="s">
        <v>223</v>
      </c>
      <c r="E475" s="4" t="str">
        <f>HYPERLINK("#'业务数据类型'!A83","HsChar1000")</f>
        <v>HsChar1000</v>
      </c>
      <c r="F475" s="3" t="s">
        <v>70</v>
      </c>
      <c r="G475" s="6" t="s">
        <v>224</v>
      </c>
      <c r="H475" s="3" t="s">
        <v>9</v>
      </c>
    </row>
    <row r="476" ht="12.75" customHeight="1" spans="2:8">
      <c r="B476" s="5" t="s">
        <v>9</v>
      </c>
      <c r="C476" s="3" t="s">
        <v>225</v>
      </c>
      <c r="D476" s="3" t="s">
        <v>226</v>
      </c>
      <c r="E476" s="4" t="str">
        <f>HYPERLINK("#'业务数据类型'!A83","HsChar1000")</f>
        <v>HsChar1000</v>
      </c>
      <c r="F476" s="3" t="s">
        <v>70</v>
      </c>
      <c r="G476" s="6" t="s">
        <v>110</v>
      </c>
      <c r="H476" s="3" t="s">
        <v>9</v>
      </c>
    </row>
    <row r="477" ht="12.75" customHeight="1" spans="2:8">
      <c r="B477" s="5" t="s">
        <v>9</v>
      </c>
      <c r="C477" s="3" t="s">
        <v>336</v>
      </c>
      <c r="D477" s="3" t="s">
        <v>337</v>
      </c>
      <c r="E477" s="4" t="str">
        <f>HYPERLINK("#'业务数据类型'!A105","Hsnum16")</f>
        <v>Hsnum16</v>
      </c>
      <c r="F477" s="3" t="s">
        <v>70</v>
      </c>
      <c r="G477" s="6" t="s">
        <v>9</v>
      </c>
      <c r="H477" s="3" t="s">
        <v>9</v>
      </c>
    </row>
    <row r="478" ht="12.75" customHeight="1" spans="2:8">
      <c r="B478" s="5" t="s">
        <v>9</v>
      </c>
      <c r="C478" s="3" t="s">
        <v>338</v>
      </c>
      <c r="D478" s="3" t="s">
        <v>339</v>
      </c>
      <c r="E478" s="4" t="str">
        <f>HYPERLINK("#'业务数据类型'!A105","Hsnum16")</f>
        <v>Hsnum16</v>
      </c>
      <c r="F478" s="3" t="s">
        <v>70</v>
      </c>
      <c r="G478" s="6" t="s">
        <v>9</v>
      </c>
      <c r="H478" s="3" t="s">
        <v>9</v>
      </c>
    </row>
    <row r="479" ht="12.75" customHeight="1" spans="2:7">
      <c r="B479" s="5" t="s">
        <v>81</v>
      </c>
      <c r="C479" s="5" t="s">
        <v>82</v>
      </c>
      <c r="D479" s="5" t="s">
        <v>83</v>
      </c>
      <c r="E479" s="5" t="s">
        <v>84</v>
      </c>
      <c r="F479" s="5" t="s">
        <v>85</v>
      </c>
      <c r="G479" s="5" t="s">
        <v>86</v>
      </c>
    </row>
    <row r="480" ht="12.75" customHeight="1" spans="2:7">
      <c r="B480" s="5" t="s">
        <v>87</v>
      </c>
      <c r="C480" s="5" t="s">
        <v>88</v>
      </c>
      <c r="D480" s="5" t="s">
        <v>5</v>
      </c>
      <c r="E480" s="5" t="s">
        <v>89</v>
      </c>
      <c r="F480" s="5" t="s">
        <v>90</v>
      </c>
      <c r="G480" s="5" t="s">
        <v>91</v>
      </c>
    </row>
    <row r="481" ht="12.75" customHeight="1" spans="2:7">
      <c r="B481" s="5" t="s">
        <v>9</v>
      </c>
      <c r="C481" s="3" t="s">
        <v>340</v>
      </c>
      <c r="D481" s="3" t="s">
        <v>93</v>
      </c>
      <c r="E481" s="3" t="s">
        <v>125</v>
      </c>
      <c r="F481" s="3" t="s">
        <v>9</v>
      </c>
      <c r="G481" s="3" t="s">
        <v>9</v>
      </c>
    </row>
    <row r="482" ht="12.75" customHeight="1" spans="2:7">
      <c r="B482" s="5" t="s">
        <v>94</v>
      </c>
      <c r="C482" s="6" t="s">
        <v>9</v>
      </c>
      <c r="D482" s="6" t="s">
        <v>9</v>
      </c>
      <c r="E482" s="6" t="s">
        <v>9</v>
      </c>
      <c r="F482" s="6" t="s">
        <v>9</v>
      </c>
      <c r="G482" s="6" t="s">
        <v>9</v>
      </c>
    </row>
    <row r="485" ht="12.75" customHeight="1" spans="2:7">
      <c r="B485" s="5" t="s">
        <v>2</v>
      </c>
      <c r="C485" s="3" t="s">
        <v>9</v>
      </c>
      <c r="D485" s="3" t="s">
        <v>9</v>
      </c>
      <c r="E485" s="3" t="s">
        <v>9</v>
      </c>
      <c r="F485" s="5" t="s">
        <v>37</v>
      </c>
      <c r="G485" s="3" t="s">
        <v>9</v>
      </c>
    </row>
    <row r="486" ht="12.75" customHeight="1" spans="2:7">
      <c r="B486" s="5" t="s">
        <v>38</v>
      </c>
      <c r="C486" s="3" t="s">
        <v>341</v>
      </c>
      <c r="D486" s="5" t="s">
        <v>40</v>
      </c>
      <c r="E486" s="3" t="s">
        <v>41</v>
      </c>
      <c r="F486" s="5" t="s">
        <v>42</v>
      </c>
      <c r="G486" s="3" t="s">
        <v>9</v>
      </c>
    </row>
    <row r="487" ht="12.75" customHeight="1" spans="2:7">
      <c r="B487" s="5" t="s">
        <v>43</v>
      </c>
      <c r="C487" s="3" t="s">
        <v>30</v>
      </c>
      <c r="D487" s="5" t="s">
        <v>44</v>
      </c>
      <c r="E487" s="3" t="s">
        <v>45</v>
      </c>
      <c r="F487" s="5" t="s">
        <v>9</v>
      </c>
      <c r="G487" s="3" t="s">
        <v>9</v>
      </c>
    </row>
    <row r="488" ht="12.75" customHeight="1" spans="2:7">
      <c r="B488" s="5" t="s">
        <v>46</v>
      </c>
      <c r="C488" s="3" t="s">
        <v>9</v>
      </c>
      <c r="D488" s="5" t="s">
        <v>47</v>
      </c>
      <c r="E488" s="3" t="s">
        <v>9</v>
      </c>
      <c r="F488" s="5" t="s">
        <v>48</v>
      </c>
      <c r="G488" s="3" t="s">
        <v>9</v>
      </c>
    </row>
    <row r="489" ht="12.75" customHeight="1" spans="2:7">
      <c r="B489" s="5" t="s">
        <v>49</v>
      </c>
      <c r="C489" s="3" t="s">
        <v>45</v>
      </c>
      <c r="D489" s="5" t="s">
        <v>50</v>
      </c>
      <c r="E489" s="3" t="s">
        <v>45</v>
      </c>
      <c r="F489" s="5" t="s">
        <v>51</v>
      </c>
      <c r="G489" s="3" t="s">
        <v>45</v>
      </c>
    </row>
    <row r="490" ht="12.75" customHeight="1" spans="2:7">
      <c r="B490" s="5" t="s">
        <v>52</v>
      </c>
      <c r="C490" s="3" t="s">
        <v>9</v>
      </c>
      <c r="D490" s="5" t="s">
        <v>53</v>
      </c>
      <c r="E490" s="3" t="s">
        <v>9</v>
      </c>
      <c r="F490" s="5" t="s">
        <v>54</v>
      </c>
      <c r="G490" s="3" t="s">
        <v>9</v>
      </c>
    </row>
    <row r="491" ht="12.75" customHeight="1" spans="2:7">
      <c r="B491" s="5" t="s">
        <v>55</v>
      </c>
      <c r="C491" s="3" t="s">
        <v>9</v>
      </c>
      <c r="D491" s="5" t="s">
        <v>56</v>
      </c>
      <c r="E491" s="3" t="s">
        <v>9</v>
      </c>
      <c r="F491" s="5" t="s">
        <v>57</v>
      </c>
      <c r="G491" s="3" t="s">
        <v>9</v>
      </c>
    </row>
    <row r="492" ht="12.75" customHeight="1" spans="2:7">
      <c r="B492" s="5" t="s">
        <v>58</v>
      </c>
      <c r="C492" s="3" t="s">
        <v>9</v>
      </c>
      <c r="D492" s="5" t="s">
        <v>59</v>
      </c>
      <c r="E492" s="3" t="s">
        <v>9</v>
      </c>
      <c r="F492" s="5" t="s">
        <v>9</v>
      </c>
      <c r="G492" s="3" t="s">
        <v>9</v>
      </c>
    </row>
    <row r="493" ht="12.75" customHeight="1" spans="2:7">
      <c r="B493" s="5" t="s">
        <v>6</v>
      </c>
      <c r="C493" s="3" t="s">
        <v>9</v>
      </c>
      <c r="D493" s="3" t="s">
        <v>9</v>
      </c>
      <c r="E493" s="3" t="s">
        <v>9</v>
      </c>
      <c r="F493" s="3" t="s">
        <v>9</v>
      </c>
      <c r="G493" s="3" t="s">
        <v>9</v>
      </c>
    </row>
    <row r="494" ht="12.75" customHeight="1" spans="2:7">
      <c r="B494" s="5" t="s">
        <v>9</v>
      </c>
      <c r="C494" s="3" t="s">
        <v>9</v>
      </c>
      <c r="D494" s="3" t="s">
        <v>9</v>
      </c>
      <c r="E494" s="3" t="s">
        <v>9</v>
      </c>
      <c r="F494" s="3" t="s">
        <v>9</v>
      </c>
      <c r="G494" s="3" t="s">
        <v>9</v>
      </c>
    </row>
    <row r="495" ht="12.75" customHeight="1" spans="2:8">
      <c r="B495" s="5" t="s">
        <v>60</v>
      </c>
      <c r="C495" s="5" t="s">
        <v>61</v>
      </c>
      <c r="D495" s="5" t="s">
        <v>43</v>
      </c>
      <c r="E495" s="5" t="s">
        <v>62</v>
      </c>
      <c r="F495" s="5" t="s">
        <v>63</v>
      </c>
      <c r="G495" s="5" t="s">
        <v>64</v>
      </c>
      <c r="H495" s="5" t="s">
        <v>65</v>
      </c>
    </row>
    <row r="496" ht="12.75" customHeight="1" spans="2:8">
      <c r="B496" s="5" t="s">
        <v>9</v>
      </c>
      <c r="C496" s="3" t="s">
        <v>205</v>
      </c>
      <c r="D496" s="3" t="s">
        <v>206</v>
      </c>
      <c r="E496" s="4" t="str">
        <f>HYPERLINK("#'业务数据类型'!A68","HsChar50")</f>
        <v>HsChar50</v>
      </c>
      <c r="F496" s="3" t="s">
        <v>45</v>
      </c>
      <c r="G496" s="6" t="s">
        <v>9</v>
      </c>
      <c r="H496" s="3" t="s">
        <v>9</v>
      </c>
    </row>
    <row r="497" ht="12.75" customHeight="1" spans="2:8">
      <c r="B497" s="5" t="s">
        <v>9</v>
      </c>
      <c r="C497" s="3" t="s">
        <v>98</v>
      </c>
      <c r="D497" s="3" t="s">
        <v>99</v>
      </c>
      <c r="E497" s="4" t="str">
        <f>HYPERLINK("#'业务数据类型'!A66","HsChar32")</f>
        <v>HsChar32</v>
      </c>
      <c r="F497" s="3" t="s">
        <v>70</v>
      </c>
      <c r="G497" s="6" t="s">
        <v>9</v>
      </c>
      <c r="H497" s="3" t="s">
        <v>9</v>
      </c>
    </row>
    <row r="498" ht="12.75" customHeight="1" spans="2:8">
      <c r="B498" s="5" t="s">
        <v>9</v>
      </c>
      <c r="C498" s="3" t="s">
        <v>342</v>
      </c>
      <c r="D498" s="3" t="s">
        <v>343</v>
      </c>
      <c r="E498" s="4" t="str">
        <f>HYPERLINK("#'业务数据类型'!A72","HsChar100")</f>
        <v>HsChar100</v>
      </c>
      <c r="F498" s="3" t="s">
        <v>70</v>
      </c>
      <c r="G498" s="6" t="s">
        <v>9</v>
      </c>
      <c r="H498" s="3" t="s">
        <v>9</v>
      </c>
    </row>
    <row r="499" ht="12.75" customHeight="1" spans="2:8">
      <c r="B499" s="5" t="s">
        <v>9</v>
      </c>
      <c r="C499" s="3" t="s">
        <v>100</v>
      </c>
      <c r="D499" s="3" t="s">
        <v>101</v>
      </c>
      <c r="E499" s="4" t="str">
        <f>HYPERLINK("#'业务数据类型'!A72","HsChar100")</f>
        <v>HsChar100</v>
      </c>
      <c r="F499" s="3" t="s">
        <v>70</v>
      </c>
      <c r="G499" s="6" t="s">
        <v>9</v>
      </c>
      <c r="H499" s="3" t="s">
        <v>9</v>
      </c>
    </row>
    <row r="500" ht="12.75" customHeight="1" spans="2:8">
      <c r="B500" s="5" t="s">
        <v>9</v>
      </c>
      <c r="C500" s="3" t="s">
        <v>344</v>
      </c>
      <c r="D500" s="3" t="s">
        <v>345</v>
      </c>
      <c r="E500" s="4" t="str">
        <f>HYPERLINK("#'业务数据类型'!A77","HsChar200")</f>
        <v>HsChar200</v>
      </c>
      <c r="F500" s="3" t="s">
        <v>70</v>
      </c>
      <c r="G500" s="6" t="s">
        <v>9</v>
      </c>
      <c r="H500" s="3" t="s">
        <v>9</v>
      </c>
    </row>
    <row r="501" ht="12.75" customHeight="1" spans="2:8">
      <c r="B501" s="5" t="s">
        <v>9</v>
      </c>
      <c r="C501" s="3" t="s">
        <v>250</v>
      </c>
      <c r="D501" s="3" t="s">
        <v>251</v>
      </c>
      <c r="E501" s="4" t="str">
        <f>HYPERLINK("#'业务数据类型'!A72","HsChar100")</f>
        <v>HsChar100</v>
      </c>
      <c r="F501" s="3" t="s">
        <v>70</v>
      </c>
      <c r="G501" s="6" t="s">
        <v>252</v>
      </c>
      <c r="H501" s="3" t="s">
        <v>9</v>
      </c>
    </row>
    <row r="502" ht="12.75" customHeight="1" spans="2:8">
      <c r="B502" s="5" t="s">
        <v>9</v>
      </c>
      <c r="C502" s="3" t="s">
        <v>346</v>
      </c>
      <c r="D502" s="3" t="s">
        <v>347</v>
      </c>
      <c r="E502" s="4" t="str">
        <f>HYPERLINK("#'业务数据类型'!A68","HsChar50")</f>
        <v>HsChar50</v>
      </c>
      <c r="F502" s="3" t="s">
        <v>70</v>
      </c>
      <c r="G502" s="6" t="s">
        <v>9</v>
      </c>
      <c r="H502" s="3" t="s">
        <v>9</v>
      </c>
    </row>
    <row r="503" ht="12.75" customHeight="1" spans="2:8">
      <c r="B503" s="5" t="s">
        <v>9</v>
      </c>
      <c r="C503" s="3" t="s">
        <v>312</v>
      </c>
      <c r="D503" s="3" t="s">
        <v>313</v>
      </c>
      <c r="E503" s="4" t="str">
        <f>HYPERLINK("#'业务数据类型'!A85","HsChar4000")</f>
        <v>HsChar4000</v>
      </c>
      <c r="F503" s="3" t="s">
        <v>70</v>
      </c>
      <c r="G503" s="6" t="s">
        <v>9</v>
      </c>
      <c r="H503" s="3" t="s">
        <v>9</v>
      </c>
    </row>
    <row r="504" ht="12.75" customHeight="1" spans="2:8">
      <c r="B504" s="5" t="s">
        <v>9</v>
      </c>
      <c r="C504" s="3" t="s">
        <v>304</v>
      </c>
      <c r="D504" s="3" t="s">
        <v>305</v>
      </c>
      <c r="E504" s="4" t="str">
        <f>HYPERLINK("#'业务数据类型'!A85","HsChar4000")</f>
        <v>HsChar4000</v>
      </c>
      <c r="F504" s="3" t="s">
        <v>70</v>
      </c>
      <c r="G504" s="6" t="s">
        <v>9</v>
      </c>
      <c r="H504" s="3" t="s">
        <v>9</v>
      </c>
    </row>
    <row r="505" ht="12.75" customHeight="1" spans="2:8">
      <c r="B505" s="5" t="s">
        <v>9</v>
      </c>
      <c r="C505" s="3" t="s">
        <v>306</v>
      </c>
      <c r="D505" s="3" t="s">
        <v>307</v>
      </c>
      <c r="E505" s="4" t="str">
        <f>HYPERLINK("#'业务数据类型'!A85","HsChar4000")</f>
        <v>HsChar4000</v>
      </c>
      <c r="F505" s="3" t="s">
        <v>70</v>
      </c>
      <c r="G505" s="6" t="s">
        <v>9</v>
      </c>
      <c r="H505" s="3" t="s">
        <v>9</v>
      </c>
    </row>
    <row r="506" ht="12.75" customHeight="1" spans="2:8">
      <c r="B506" s="5" t="s">
        <v>9</v>
      </c>
      <c r="C506" s="3" t="s">
        <v>314</v>
      </c>
      <c r="D506" s="3" t="s">
        <v>315</v>
      </c>
      <c r="E506" s="4" t="str">
        <f>HYPERLINK("#'业务数据类型'!A27","HsAmount")</f>
        <v>HsAmount</v>
      </c>
      <c r="F506" s="3" t="s">
        <v>70</v>
      </c>
      <c r="G506" s="6" t="s">
        <v>9</v>
      </c>
      <c r="H506" s="3" t="s">
        <v>9</v>
      </c>
    </row>
    <row r="507" ht="12.75" customHeight="1" spans="2:8">
      <c r="B507" s="5" t="s">
        <v>9</v>
      </c>
      <c r="C507" s="3" t="s">
        <v>320</v>
      </c>
      <c r="D507" s="3" t="s">
        <v>321</v>
      </c>
      <c r="E507" s="4" t="str">
        <f>HYPERLINK("#'业务数据类型'!A105","Hsnum16")</f>
        <v>Hsnum16</v>
      </c>
      <c r="F507" s="3" t="s">
        <v>70</v>
      </c>
      <c r="G507" s="6" t="s">
        <v>9</v>
      </c>
      <c r="H507" s="3" t="s">
        <v>9</v>
      </c>
    </row>
    <row r="508" ht="12.75" customHeight="1" spans="2:8">
      <c r="B508" s="5" t="s">
        <v>9</v>
      </c>
      <c r="C508" s="3" t="s">
        <v>348</v>
      </c>
      <c r="D508" s="3" t="s">
        <v>349</v>
      </c>
      <c r="E508" s="4" t="str">
        <f>HYPERLINK("#'业务数据类型'!A27","HsAmount")</f>
        <v>HsAmount</v>
      </c>
      <c r="F508" s="3" t="s">
        <v>70</v>
      </c>
      <c r="G508" s="6" t="s">
        <v>9</v>
      </c>
      <c r="H508" s="3" t="s">
        <v>9</v>
      </c>
    </row>
    <row r="509" ht="12.75" customHeight="1" spans="2:8">
      <c r="B509" s="5" t="s">
        <v>9</v>
      </c>
      <c r="C509" s="3" t="s">
        <v>350</v>
      </c>
      <c r="D509" s="3" t="s">
        <v>351</v>
      </c>
      <c r="E509" s="4" t="str">
        <f>HYPERLINK("#'业务数据类型'!A68","HsChar50")</f>
        <v>HsChar50</v>
      </c>
      <c r="F509" s="3" t="s">
        <v>70</v>
      </c>
      <c r="G509" s="6" t="s">
        <v>352</v>
      </c>
      <c r="H509" s="3" t="s">
        <v>9</v>
      </c>
    </row>
    <row r="510" ht="12.75" customHeight="1" spans="2:8">
      <c r="B510" s="5" t="s">
        <v>9</v>
      </c>
      <c r="C510" s="3" t="s">
        <v>326</v>
      </c>
      <c r="D510" s="3" t="s">
        <v>327</v>
      </c>
      <c r="E510" s="4" t="str">
        <f>HYPERLINK("#'业务数据类型'!A68","HsChar50")</f>
        <v>HsChar50</v>
      </c>
      <c r="F510" s="3" t="s">
        <v>70</v>
      </c>
      <c r="G510" s="6" t="s">
        <v>328</v>
      </c>
      <c r="H510" s="3" t="s">
        <v>9</v>
      </c>
    </row>
    <row r="511" ht="12.75" customHeight="1" spans="2:8">
      <c r="B511" s="5" t="s">
        <v>9</v>
      </c>
      <c r="C511" s="3" t="s">
        <v>114</v>
      </c>
      <c r="D511" s="3" t="s">
        <v>115</v>
      </c>
      <c r="E511" s="4" t="str">
        <f>HYPERLINK("#'业务数据类型'!A107","HsDateTime")</f>
        <v>HsDateTime</v>
      </c>
      <c r="F511" s="3" t="s">
        <v>70</v>
      </c>
      <c r="G511" s="6" t="s">
        <v>116</v>
      </c>
      <c r="H511" s="3" t="s">
        <v>9</v>
      </c>
    </row>
    <row r="512" ht="12.75" customHeight="1" spans="2:8">
      <c r="B512" s="5" t="s">
        <v>9</v>
      </c>
      <c r="C512" s="3" t="s">
        <v>353</v>
      </c>
      <c r="D512" s="3" t="s">
        <v>115</v>
      </c>
      <c r="E512" s="4" t="str">
        <f>HYPERLINK("#'业务数据类型'!A12","HsTime")</f>
        <v>HsTime</v>
      </c>
      <c r="F512" s="3" t="s">
        <v>70</v>
      </c>
      <c r="G512" s="6" t="s">
        <v>9</v>
      </c>
      <c r="H512" s="3" t="s">
        <v>9</v>
      </c>
    </row>
    <row r="513" ht="12.75" customHeight="1" spans="2:8">
      <c r="B513" s="5" t="s">
        <v>9</v>
      </c>
      <c r="C513" s="3" t="s">
        <v>354</v>
      </c>
      <c r="D513" s="3" t="s">
        <v>355</v>
      </c>
      <c r="E513" s="4" t="str">
        <f>HYPERLINK("#'业务数据类型'!A68","HsChar50")</f>
        <v>HsChar50</v>
      </c>
      <c r="F513" s="3" t="s">
        <v>70</v>
      </c>
      <c r="G513" s="6" t="s">
        <v>356</v>
      </c>
      <c r="H513" s="3" t="s">
        <v>9</v>
      </c>
    </row>
    <row r="514" ht="12.75" customHeight="1" spans="2:8">
      <c r="B514" s="5" t="s">
        <v>9</v>
      </c>
      <c r="C514" s="3" t="s">
        <v>213</v>
      </c>
      <c r="D514" s="3" t="s">
        <v>214</v>
      </c>
      <c r="E514" s="4" t="str">
        <f>HYPERLINK("#'业务数据类型'!A40","HsChar10")</f>
        <v>HsChar10</v>
      </c>
      <c r="F514" s="3" t="s">
        <v>70</v>
      </c>
      <c r="G514" s="6" t="s">
        <v>215</v>
      </c>
      <c r="H514" s="3" t="s">
        <v>9</v>
      </c>
    </row>
    <row r="515" ht="12.75" customHeight="1" spans="2:8">
      <c r="B515" s="5" t="s">
        <v>9</v>
      </c>
      <c r="C515" s="3" t="s">
        <v>117</v>
      </c>
      <c r="D515" s="3" t="s">
        <v>118</v>
      </c>
      <c r="E515" s="4" t="str">
        <f>HYPERLINK("#'业务数据类型'!A68","HsChar50")</f>
        <v>HsChar50</v>
      </c>
      <c r="F515" s="3" t="s">
        <v>70</v>
      </c>
      <c r="G515" s="6" t="s">
        <v>9</v>
      </c>
      <c r="H515" s="3" t="s">
        <v>9</v>
      </c>
    </row>
    <row r="516" ht="12.75" customHeight="1" spans="2:8">
      <c r="B516" s="5" t="s">
        <v>9</v>
      </c>
      <c r="C516" s="3" t="s">
        <v>119</v>
      </c>
      <c r="D516" s="3" t="s">
        <v>120</v>
      </c>
      <c r="E516" s="4" t="str">
        <f>HYPERLINK("#'业务数据类型'!A107","HsDateTime")</f>
        <v>HsDateTime</v>
      </c>
      <c r="F516" s="3" t="s">
        <v>70</v>
      </c>
      <c r="G516" s="6" t="s">
        <v>9</v>
      </c>
      <c r="H516" s="3" t="s">
        <v>9</v>
      </c>
    </row>
    <row r="517" ht="12.75" customHeight="1" spans="2:8">
      <c r="B517" s="5" t="s">
        <v>9</v>
      </c>
      <c r="C517" s="3" t="s">
        <v>121</v>
      </c>
      <c r="D517" s="3" t="s">
        <v>122</v>
      </c>
      <c r="E517" s="4" t="str">
        <f>HYPERLINK("#'业务数据类型'!A68","HsChar50")</f>
        <v>HsChar50</v>
      </c>
      <c r="F517" s="3" t="s">
        <v>70</v>
      </c>
      <c r="G517" s="6" t="s">
        <v>9</v>
      </c>
      <c r="H517" s="3" t="s">
        <v>9</v>
      </c>
    </row>
    <row r="518" ht="12.75" customHeight="1" spans="2:8">
      <c r="B518" s="5" t="s">
        <v>9</v>
      </c>
      <c r="C518" s="3" t="s">
        <v>123</v>
      </c>
      <c r="D518" s="3" t="s">
        <v>124</v>
      </c>
      <c r="E518" s="4" t="str">
        <f>HYPERLINK("#'业务数据类型'!A107","HsDateTime")</f>
        <v>HsDateTime</v>
      </c>
      <c r="F518" s="3" t="s">
        <v>70</v>
      </c>
      <c r="G518" s="6" t="s">
        <v>9</v>
      </c>
      <c r="H518" s="3" t="s">
        <v>9</v>
      </c>
    </row>
    <row r="519" ht="12.75" customHeight="1" spans="2:8">
      <c r="B519" s="5" t="s">
        <v>9</v>
      </c>
      <c r="C519" s="3" t="s">
        <v>185</v>
      </c>
      <c r="D519" s="3" t="s">
        <v>64</v>
      </c>
      <c r="E519" s="4" t="str">
        <f>HYPERLINK("#'业务数据类型'!A82","HsAbstract")</f>
        <v>HsAbstract</v>
      </c>
      <c r="F519" s="3" t="s">
        <v>70</v>
      </c>
      <c r="G519" s="6" t="s">
        <v>110</v>
      </c>
      <c r="H519" s="3" t="s">
        <v>9</v>
      </c>
    </row>
    <row r="520" ht="12.75" customHeight="1" spans="2:8">
      <c r="B520" s="5" t="s">
        <v>9</v>
      </c>
      <c r="C520" s="3" t="s">
        <v>222</v>
      </c>
      <c r="D520" s="3" t="s">
        <v>223</v>
      </c>
      <c r="E520" s="4" t="str">
        <f>HYPERLINK("#'业务数据类型'!A83","HsChar1000")</f>
        <v>HsChar1000</v>
      </c>
      <c r="F520" s="3" t="s">
        <v>70</v>
      </c>
      <c r="G520" s="6" t="s">
        <v>224</v>
      </c>
      <c r="H520" s="3" t="s">
        <v>9</v>
      </c>
    </row>
    <row r="521" ht="12.75" customHeight="1" spans="2:8">
      <c r="B521" s="5" t="s">
        <v>9</v>
      </c>
      <c r="C521" s="3" t="s">
        <v>338</v>
      </c>
      <c r="D521" s="3" t="s">
        <v>339</v>
      </c>
      <c r="E521" s="4" t="str">
        <f>HYPERLINK("#'业务数据类型'!A105","Hsnum16")</f>
        <v>Hsnum16</v>
      </c>
      <c r="F521" s="3" t="s">
        <v>70</v>
      </c>
      <c r="G521" s="6" t="s">
        <v>9</v>
      </c>
      <c r="H521" s="3" t="s">
        <v>9</v>
      </c>
    </row>
    <row r="522" ht="12.75" customHeight="1" spans="2:7">
      <c r="B522" s="5" t="s">
        <v>81</v>
      </c>
      <c r="C522" s="5" t="s">
        <v>82</v>
      </c>
      <c r="D522" s="5" t="s">
        <v>83</v>
      </c>
      <c r="E522" s="5" t="s">
        <v>84</v>
      </c>
      <c r="F522" s="5" t="s">
        <v>85</v>
      </c>
      <c r="G522" s="5" t="s">
        <v>86</v>
      </c>
    </row>
    <row r="523" ht="12.75" customHeight="1" spans="2:7">
      <c r="B523" s="5" t="s">
        <v>87</v>
      </c>
      <c r="C523" s="5" t="s">
        <v>88</v>
      </c>
      <c r="D523" s="5" t="s">
        <v>5</v>
      </c>
      <c r="E523" s="5" t="s">
        <v>89</v>
      </c>
      <c r="F523" s="5" t="s">
        <v>90</v>
      </c>
      <c r="G523" s="5" t="s">
        <v>91</v>
      </c>
    </row>
    <row r="524" ht="12.75" customHeight="1" spans="2:7">
      <c r="B524" s="5" t="s">
        <v>9</v>
      </c>
      <c r="C524" s="3" t="s">
        <v>357</v>
      </c>
      <c r="D524" s="3" t="s">
        <v>93</v>
      </c>
      <c r="E524" s="3" t="s">
        <v>205</v>
      </c>
      <c r="F524" s="3" t="s">
        <v>9</v>
      </c>
      <c r="G524" s="3" t="s">
        <v>9</v>
      </c>
    </row>
    <row r="525" ht="12.75" customHeight="1" spans="2:7">
      <c r="B525" s="5" t="s">
        <v>94</v>
      </c>
      <c r="C525" s="6" t="s">
        <v>9</v>
      </c>
      <c r="D525" s="6" t="s">
        <v>9</v>
      </c>
      <c r="E525" s="6" t="s">
        <v>9</v>
      </c>
      <c r="F525" s="6" t="s">
        <v>9</v>
      </c>
      <c r="G525" s="6" t="s">
        <v>9</v>
      </c>
    </row>
    <row r="528" ht="12.75" customHeight="1" spans="2:7">
      <c r="B528" s="5" t="s">
        <v>2</v>
      </c>
      <c r="C528" s="3" t="s">
        <v>9</v>
      </c>
      <c r="D528" s="3" t="s">
        <v>9</v>
      </c>
      <c r="E528" s="3" t="s">
        <v>9</v>
      </c>
      <c r="F528" s="5" t="s">
        <v>37</v>
      </c>
      <c r="G528" s="3" t="s">
        <v>9</v>
      </c>
    </row>
    <row r="529" ht="12.75" customHeight="1" spans="2:7">
      <c r="B529" s="5" t="s">
        <v>38</v>
      </c>
      <c r="C529" s="3" t="s">
        <v>358</v>
      </c>
      <c r="D529" s="5" t="s">
        <v>40</v>
      </c>
      <c r="E529" s="3" t="s">
        <v>41</v>
      </c>
      <c r="F529" s="5" t="s">
        <v>42</v>
      </c>
      <c r="G529" s="3" t="s">
        <v>9</v>
      </c>
    </row>
    <row r="530" ht="12.75" customHeight="1" spans="2:7">
      <c r="B530" s="5" t="s">
        <v>43</v>
      </c>
      <c r="C530" s="3" t="s">
        <v>31</v>
      </c>
      <c r="D530" s="5" t="s">
        <v>44</v>
      </c>
      <c r="E530" s="3" t="s">
        <v>45</v>
      </c>
      <c r="F530" s="5" t="s">
        <v>9</v>
      </c>
      <c r="G530" s="3" t="s">
        <v>9</v>
      </c>
    </row>
    <row r="531" ht="12.75" customHeight="1" spans="2:7">
      <c r="B531" s="5" t="s">
        <v>46</v>
      </c>
      <c r="C531" s="3" t="s">
        <v>9</v>
      </c>
      <c r="D531" s="5" t="s">
        <v>47</v>
      </c>
      <c r="E531" s="3" t="s">
        <v>9</v>
      </c>
      <c r="F531" s="5" t="s">
        <v>48</v>
      </c>
      <c r="G531" s="3" t="s">
        <v>9</v>
      </c>
    </row>
    <row r="532" ht="12.75" customHeight="1" spans="2:7">
      <c r="B532" s="5" t="s">
        <v>49</v>
      </c>
      <c r="C532" s="3" t="s">
        <v>45</v>
      </c>
      <c r="D532" s="5" t="s">
        <v>50</v>
      </c>
      <c r="E532" s="3" t="s">
        <v>45</v>
      </c>
      <c r="F532" s="5" t="s">
        <v>51</v>
      </c>
      <c r="G532" s="3" t="s">
        <v>45</v>
      </c>
    </row>
    <row r="533" ht="12.75" customHeight="1" spans="2:7">
      <c r="B533" s="5" t="s">
        <v>52</v>
      </c>
      <c r="C533" s="3" t="s">
        <v>9</v>
      </c>
      <c r="D533" s="5" t="s">
        <v>53</v>
      </c>
      <c r="E533" s="3" t="s">
        <v>9</v>
      </c>
      <c r="F533" s="5" t="s">
        <v>54</v>
      </c>
      <c r="G533" s="3" t="s">
        <v>9</v>
      </c>
    </row>
    <row r="534" ht="12.75" customHeight="1" spans="2:7">
      <c r="B534" s="5" t="s">
        <v>55</v>
      </c>
      <c r="C534" s="3" t="s">
        <v>9</v>
      </c>
      <c r="D534" s="5" t="s">
        <v>56</v>
      </c>
      <c r="E534" s="3" t="s">
        <v>9</v>
      </c>
      <c r="F534" s="5" t="s">
        <v>57</v>
      </c>
      <c r="G534" s="3" t="s">
        <v>9</v>
      </c>
    </row>
    <row r="535" ht="12.75" customHeight="1" spans="2:7">
      <c r="B535" s="5" t="s">
        <v>58</v>
      </c>
      <c r="C535" s="3" t="s">
        <v>9</v>
      </c>
      <c r="D535" s="5" t="s">
        <v>59</v>
      </c>
      <c r="E535" s="3" t="s">
        <v>9</v>
      </c>
      <c r="F535" s="5" t="s">
        <v>9</v>
      </c>
      <c r="G535" s="3" t="s">
        <v>9</v>
      </c>
    </row>
    <row r="536" ht="12.75" customHeight="1" spans="2:7">
      <c r="B536" s="5" t="s">
        <v>6</v>
      </c>
      <c r="C536" s="3" t="s">
        <v>9</v>
      </c>
      <c r="D536" s="3" t="s">
        <v>9</v>
      </c>
      <c r="E536" s="3" t="s">
        <v>9</v>
      </c>
      <c r="F536" s="3" t="s">
        <v>9</v>
      </c>
      <c r="G536" s="3" t="s">
        <v>9</v>
      </c>
    </row>
    <row r="537" ht="12.75" customHeight="1" spans="2:7">
      <c r="B537" s="5" t="s">
        <v>9</v>
      </c>
      <c r="C537" s="3" t="s">
        <v>9</v>
      </c>
      <c r="D537" s="3" t="s">
        <v>9</v>
      </c>
      <c r="E537" s="3" t="s">
        <v>9</v>
      </c>
      <c r="F537" s="3" t="s">
        <v>9</v>
      </c>
      <c r="G537" s="3" t="s">
        <v>9</v>
      </c>
    </row>
    <row r="538" ht="12.75" customHeight="1" spans="2:8">
      <c r="B538" s="5" t="s">
        <v>60</v>
      </c>
      <c r="C538" s="5" t="s">
        <v>61</v>
      </c>
      <c r="D538" s="5" t="s">
        <v>43</v>
      </c>
      <c r="E538" s="5" t="s">
        <v>62</v>
      </c>
      <c r="F538" s="5" t="s">
        <v>63</v>
      </c>
      <c r="G538" s="5" t="s">
        <v>64</v>
      </c>
      <c r="H538" s="5" t="s">
        <v>65</v>
      </c>
    </row>
    <row r="539" ht="12.75" customHeight="1" spans="2:8">
      <c r="B539" s="5" t="s">
        <v>9</v>
      </c>
      <c r="C539" s="3" t="s">
        <v>359</v>
      </c>
      <c r="D539" s="3" t="s">
        <v>360</v>
      </c>
      <c r="E539" s="4" t="str">
        <f>HYPERLINK("#'业务数据类型'!A66","HsChar32")</f>
        <v>HsChar32</v>
      </c>
      <c r="F539" s="3" t="s">
        <v>45</v>
      </c>
      <c r="G539" s="6" t="s">
        <v>9</v>
      </c>
      <c r="H539" s="3" t="s">
        <v>9</v>
      </c>
    </row>
    <row r="540" ht="12.75" customHeight="1" spans="2:8">
      <c r="B540" s="5" t="s">
        <v>9</v>
      </c>
      <c r="C540" s="3" t="s">
        <v>179</v>
      </c>
      <c r="D540" s="3" t="s">
        <v>180</v>
      </c>
      <c r="E540" s="4" t="str">
        <f>HYPERLINK("#'业务数据类型'!A52","HsChar20")</f>
        <v>HsChar20</v>
      </c>
      <c r="F540" s="3" t="s">
        <v>70</v>
      </c>
      <c r="G540" s="6" t="s">
        <v>9</v>
      </c>
      <c r="H540" s="3" t="s">
        <v>9</v>
      </c>
    </row>
    <row r="541" ht="12.75" customHeight="1" spans="2:8">
      <c r="B541" s="5" t="s">
        <v>9</v>
      </c>
      <c r="C541" s="3" t="s">
        <v>98</v>
      </c>
      <c r="D541" s="3" t="s">
        <v>99</v>
      </c>
      <c r="E541" s="4" t="str">
        <f>HYPERLINK("#'业务数据类型'!A66","HsChar32")</f>
        <v>HsChar32</v>
      </c>
      <c r="F541" s="3" t="s">
        <v>70</v>
      </c>
      <c r="G541" s="6" t="s">
        <v>9</v>
      </c>
      <c r="H541" s="3" t="s">
        <v>9</v>
      </c>
    </row>
    <row r="542" ht="12.75" customHeight="1" spans="2:8">
      <c r="B542" s="5" t="s">
        <v>9</v>
      </c>
      <c r="C542" s="3" t="s">
        <v>342</v>
      </c>
      <c r="D542" s="3" t="s">
        <v>343</v>
      </c>
      <c r="E542" s="4" t="str">
        <f>HYPERLINK("#'业务数据类型'!A72","HsChar100")</f>
        <v>HsChar100</v>
      </c>
      <c r="F542" s="3" t="s">
        <v>70</v>
      </c>
      <c r="G542" s="6" t="s">
        <v>9</v>
      </c>
      <c r="H542" s="3" t="s">
        <v>9</v>
      </c>
    </row>
    <row r="543" ht="12.75" customHeight="1" spans="2:8">
      <c r="B543" s="5" t="s">
        <v>9</v>
      </c>
      <c r="C543" s="3" t="s">
        <v>100</v>
      </c>
      <c r="D543" s="3" t="s">
        <v>101</v>
      </c>
      <c r="E543" s="4" t="str">
        <f>HYPERLINK("#'业务数据类型'!A72","HsChar100")</f>
        <v>HsChar100</v>
      </c>
      <c r="F543" s="3" t="s">
        <v>70</v>
      </c>
      <c r="G543" s="6" t="s">
        <v>9</v>
      </c>
      <c r="H543" s="3" t="s">
        <v>9</v>
      </c>
    </row>
    <row r="544" ht="12.75" customHeight="1" spans="2:8">
      <c r="B544" s="5" t="s">
        <v>9</v>
      </c>
      <c r="C544" s="3" t="s">
        <v>361</v>
      </c>
      <c r="D544" s="3" t="s">
        <v>362</v>
      </c>
      <c r="E544" s="4" t="str">
        <f>HYPERLINK("#'业务数据类型'!A83","HsChar1000")</f>
        <v>HsChar1000</v>
      </c>
      <c r="F544" s="3" t="s">
        <v>70</v>
      </c>
      <c r="G544" s="6" t="s">
        <v>9</v>
      </c>
      <c r="H544" s="3" t="s">
        <v>9</v>
      </c>
    </row>
    <row r="545" ht="12.75" customHeight="1" spans="2:8">
      <c r="B545" s="5" t="s">
        <v>9</v>
      </c>
      <c r="C545" s="3" t="s">
        <v>142</v>
      </c>
      <c r="D545" s="3" t="s">
        <v>143</v>
      </c>
      <c r="E545" s="4" t="str">
        <f>HYPERLINK("#'业务数据类型'!A68","HsChar50")</f>
        <v>HsChar50</v>
      </c>
      <c r="F545" s="3" t="s">
        <v>70</v>
      </c>
      <c r="G545" s="6" t="s">
        <v>144</v>
      </c>
      <c r="H545" s="3" t="s">
        <v>9</v>
      </c>
    </row>
    <row r="546" ht="12.75" customHeight="1" spans="2:8">
      <c r="B546" s="5" t="s">
        <v>9</v>
      </c>
      <c r="C546" s="3" t="s">
        <v>140</v>
      </c>
      <c r="D546" s="3" t="s">
        <v>141</v>
      </c>
      <c r="E546" s="4" t="str">
        <f>HYPERLINK("#'业务数据类型'!A72","HsChar100")</f>
        <v>HsChar100</v>
      </c>
      <c r="F546" s="3" t="s">
        <v>70</v>
      </c>
      <c r="G546" s="6" t="s">
        <v>9</v>
      </c>
      <c r="H546" s="3" t="s">
        <v>9</v>
      </c>
    </row>
    <row r="547" ht="12.75" customHeight="1" spans="2:8">
      <c r="B547" s="5" t="s">
        <v>9</v>
      </c>
      <c r="C547" s="3" t="s">
        <v>363</v>
      </c>
      <c r="D547" s="3" t="s">
        <v>364</v>
      </c>
      <c r="E547" s="4" t="str">
        <f>HYPERLINK("#'业务数据类型'!A41","HsChar12")</f>
        <v>HsChar12</v>
      </c>
      <c r="F547" s="3" t="s">
        <v>70</v>
      </c>
      <c r="G547" s="6" t="s">
        <v>9</v>
      </c>
      <c r="H547" s="3" t="s">
        <v>9</v>
      </c>
    </row>
    <row r="548" ht="12.75" customHeight="1" spans="2:8">
      <c r="B548" s="5" t="s">
        <v>9</v>
      </c>
      <c r="C548" s="3" t="s">
        <v>297</v>
      </c>
      <c r="D548" s="3" t="s">
        <v>298</v>
      </c>
      <c r="E548" s="4" t="str">
        <f>HYPERLINK("#'业务数据类型'!A105","Hsnum16")</f>
        <v>Hsnum16</v>
      </c>
      <c r="F548" s="3" t="s">
        <v>70</v>
      </c>
      <c r="G548" s="6" t="s">
        <v>9</v>
      </c>
      <c r="H548" s="3" t="s">
        <v>9</v>
      </c>
    </row>
    <row r="549" ht="12.75" customHeight="1" spans="2:8">
      <c r="B549" s="5" t="s">
        <v>9</v>
      </c>
      <c r="C549" s="3" t="s">
        <v>365</v>
      </c>
      <c r="D549" s="3" t="s">
        <v>366</v>
      </c>
      <c r="E549" s="4" t="str">
        <f>HYPERLINK("#'业务数据类型'!A79","HsChar255")</f>
        <v>HsChar255</v>
      </c>
      <c r="F549" s="3" t="s">
        <v>70</v>
      </c>
      <c r="G549" s="6" t="s">
        <v>9</v>
      </c>
      <c r="H549" s="3" t="s">
        <v>9</v>
      </c>
    </row>
    <row r="550" ht="12.75" customHeight="1" spans="2:8">
      <c r="B550" s="5" t="s">
        <v>9</v>
      </c>
      <c r="C550" s="3" t="s">
        <v>367</v>
      </c>
      <c r="D550" s="3" t="s">
        <v>368</v>
      </c>
      <c r="E550" s="4" t="str">
        <f>HYPERLINK("#'业务数据类型'!A72","HsChar100")</f>
        <v>HsChar100</v>
      </c>
      <c r="F550" s="3" t="s">
        <v>70</v>
      </c>
      <c r="G550" s="6" t="s">
        <v>9</v>
      </c>
      <c r="H550" s="3" t="s">
        <v>9</v>
      </c>
    </row>
    <row r="551" ht="12.75" customHeight="1" spans="2:8">
      <c r="B551" s="5" t="s">
        <v>9</v>
      </c>
      <c r="C551" s="3" t="s">
        <v>308</v>
      </c>
      <c r="D551" s="3" t="s">
        <v>309</v>
      </c>
      <c r="E551" s="4" t="str">
        <f>HYPERLINK("#'业务数据类型'!A72","HsChar100")</f>
        <v>HsChar100</v>
      </c>
      <c r="F551" s="3" t="s">
        <v>70</v>
      </c>
      <c r="G551" s="6" t="s">
        <v>9</v>
      </c>
      <c r="H551" s="3" t="s">
        <v>9</v>
      </c>
    </row>
    <row r="552" ht="12.75" customHeight="1" spans="2:8">
      <c r="B552" s="5" t="s">
        <v>9</v>
      </c>
      <c r="C552" s="3" t="s">
        <v>369</v>
      </c>
      <c r="D552" s="3" t="s">
        <v>370</v>
      </c>
      <c r="E552" s="4" t="str">
        <f>HYPERLINK("#'业务数据类型'!A107","HsDateTime")</f>
        <v>HsDateTime</v>
      </c>
      <c r="F552" s="3" t="s">
        <v>70</v>
      </c>
      <c r="G552" s="6" t="s">
        <v>9</v>
      </c>
      <c r="H552" s="3" t="s">
        <v>9</v>
      </c>
    </row>
    <row r="553" ht="12.75" customHeight="1" spans="2:8">
      <c r="B553" s="5" t="s">
        <v>9</v>
      </c>
      <c r="C553" s="3" t="s">
        <v>250</v>
      </c>
      <c r="D553" s="3" t="s">
        <v>251</v>
      </c>
      <c r="E553" s="4" t="str">
        <f>HYPERLINK("#'业务数据类型'!A72","HsChar100")</f>
        <v>HsChar100</v>
      </c>
      <c r="F553" s="3" t="s">
        <v>70</v>
      </c>
      <c r="G553" s="6" t="s">
        <v>252</v>
      </c>
      <c r="H553" s="3" t="s">
        <v>9</v>
      </c>
    </row>
    <row r="554" ht="12.75" customHeight="1" spans="2:8">
      <c r="B554" s="5" t="s">
        <v>9</v>
      </c>
      <c r="C554" s="3" t="s">
        <v>371</v>
      </c>
      <c r="D554" s="3" t="s">
        <v>372</v>
      </c>
      <c r="E554" s="4" t="str">
        <f>HYPERLINK("#'业务数据类型'!A8","HsType")</f>
        <v>HsType</v>
      </c>
      <c r="F554" s="3" t="s">
        <v>70</v>
      </c>
      <c r="G554" s="6" t="s">
        <v>9</v>
      </c>
      <c r="H554" s="3" t="s">
        <v>9</v>
      </c>
    </row>
    <row r="555" ht="12.75" customHeight="1" spans="2:8">
      <c r="B555" s="5" t="s">
        <v>9</v>
      </c>
      <c r="C555" s="3" t="s">
        <v>373</v>
      </c>
      <c r="D555" s="3" t="s">
        <v>374</v>
      </c>
      <c r="E555" s="4" t="str">
        <f>HYPERLINK("#'业务数据类型'!A107","HsDateTime")</f>
        <v>HsDateTime</v>
      </c>
      <c r="F555" s="3" t="s">
        <v>70</v>
      </c>
      <c r="G555" s="6" t="s">
        <v>9</v>
      </c>
      <c r="H555" s="3" t="s">
        <v>9</v>
      </c>
    </row>
    <row r="556" ht="12.75" customHeight="1" spans="2:8">
      <c r="B556" s="5" t="s">
        <v>9</v>
      </c>
      <c r="C556" s="3" t="s">
        <v>185</v>
      </c>
      <c r="D556" s="3" t="s">
        <v>64</v>
      </c>
      <c r="E556" s="4" t="str">
        <f>HYPERLINK("#'业务数据类型'!A82","HsAbstract")</f>
        <v>HsAbstract</v>
      </c>
      <c r="F556" s="3" t="s">
        <v>70</v>
      </c>
      <c r="G556" s="6" t="s">
        <v>110</v>
      </c>
      <c r="H556" s="3" t="s">
        <v>9</v>
      </c>
    </row>
    <row r="557" ht="12.75" customHeight="1" spans="2:8">
      <c r="B557" s="5" t="s">
        <v>9</v>
      </c>
      <c r="C557" s="3" t="s">
        <v>375</v>
      </c>
      <c r="D557" s="3" t="s">
        <v>131</v>
      </c>
      <c r="E557" s="4" t="str">
        <f>HYPERLINK("#'业务数据类型'!A76","HsChar128")</f>
        <v>HsChar128</v>
      </c>
      <c r="F557" s="3" t="s">
        <v>70</v>
      </c>
      <c r="G557" s="6" t="s">
        <v>9</v>
      </c>
      <c r="H557" s="3" t="s">
        <v>9</v>
      </c>
    </row>
    <row r="558" ht="12.75" customHeight="1" spans="2:8">
      <c r="B558" s="5" t="s">
        <v>9</v>
      </c>
      <c r="C558" s="3" t="s">
        <v>376</v>
      </c>
      <c r="D558" s="3" t="s">
        <v>377</v>
      </c>
      <c r="E558" s="4" t="str">
        <f>HYPERLINK("#'业务数据类型'!A76","HsChar128")</f>
        <v>HsChar128</v>
      </c>
      <c r="F558" s="3" t="s">
        <v>70</v>
      </c>
      <c r="G558" s="6" t="s">
        <v>9</v>
      </c>
      <c r="H558" s="3" t="s">
        <v>9</v>
      </c>
    </row>
    <row r="559" ht="12.75" customHeight="1" spans="2:8">
      <c r="B559" s="5" t="s">
        <v>9</v>
      </c>
      <c r="C559" s="3" t="s">
        <v>73</v>
      </c>
      <c r="D559" s="3" t="s">
        <v>74</v>
      </c>
      <c r="E559" s="4" t="str">
        <f>HYPERLINK("#'业务数据类型'!A40","HsChar10")</f>
        <v>HsChar10</v>
      </c>
      <c r="F559" s="3" t="s">
        <v>70</v>
      </c>
      <c r="G559" s="6" t="s">
        <v>9</v>
      </c>
      <c r="H559" s="3" t="s">
        <v>9</v>
      </c>
    </row>
    <row r="560" ht="12.75" customHeight="1" spans="2:8">
      <c r="B560" s="5" t="s">
        <v>9</v>
      </c>
      <c r="C560" s="3" t="s">
        <v>378</v>
      </c>
      <c r="D560" s="3" t="s">
        <v>379</v>
      </c>
      <c r="E560" s="4" t="str">
        <f>HYPERLINK("#'业务数据类型'!A40","HsChar10")</f>
        <v>HsChar10</v>
      </c>
      <c r="F560" s="3" t="s">
        <v>70</v>
      </c>
      <c r="G560" s="6" t="s">
        <v>9</v>
      </c>
      <c r="H560" s="3" t="s">
        <v>9</v>
      </c>
    </row>
    <row r="561" ht="12.75" customHeight="1" spans="2:8">
      <c r="B561" s="5" t="s">
        <v>9</v>
      </c>
      <c r="C561" s="3" t="s">
        <v>380</v>
      </c>
      <c r="D561" s="3" t="s">
        <v>381</v>
      </c>
      <c r="E561" s="4" t="str">
        <f>HYPERLINK("#'业务数据类型'!A40","HsChar10")</f>
        <v>HsChar10</v>
      </c>
      <c r="F561" s="3" t="s">
        <v>70</v>
      </c>
      <c r="G561" s="6" t="s">
        <v>9</v>
      </c>
      <c r="H561" s="3" t="s">
        <v>9</v>
      </c>
    </row>
    <row r="562" ht="12.75" customHeight="1" spans="2:8">
      <c r="B562" s="5" t="s">
        <v>9</v>
      </c>
      <c r="C562" s="3" t="s">
        <v>382</v>
      </c>
      <c r="D562" s="3" t="s">
        <v>383</v>
      </c>
      <c r="E562" s="4" t="str">
        <f>HYPERLINK("#'业务数据类型'!A106","HsChar22")</f>
        <v>HsChar22</v>
      </c>
      <c r="F562" s="3" t="s">
        <v>70</v>
      </c>
      <c r="G562" s="6" t="s">
        <v>384</v>
      </c>
      <c r="H562" s="3" t="s">
        <v>9</v>
      </c>
    </row>
    <row r="563" ht="12.75" customHeight="1" spans="2:8">
      <c r="B563" s="5" t="s">
        <v>9</v>
      </c>
      <c r="C563" s="3" t="s">
        <v>183</v>
      </c>
      <c r="D563" s="3" t="s">
        <v>184</v>
      </c>
      <c r="E563" s="4" t="str">
        <f>HYPERLINK("#'业务数据类型'!A77","HsChar200")</f>
        <v>HsChar200</v>
      </c>
      <c r="F563" s="3" t="s">
        <v>70</v>
      </c>
      <c r="G563" s="6" t="s">
        <v>9</v>
      </c>
      <c r="H563" s="3" t="s">
        <v>9</v>
      </c>
    </row>
    <row r="564" ht="12.75" customHeight="1" spans="2:8">
      <c r="B564" s="5" t="s">
        <v>9</v>
      </c>
      <c r="C564" s="3" t="s">
        <v>385</v>
      </c>
      <c r="D564" s="3" t="s">
        <v>386</v>
      </c>
      <c r="E564" s="4" t="str">
        <f>HYPERLINK("#'业务数据类型'!A40","HsChar10")</f>
        <v>HsChar10</v>
      </c>
      <c r="F564" s="3" t="s">
        <v>70</v>
      </c>
      <c r="G564" s="6" t="s">
        <v>9</v>
      </c>
      <c r="H564" s="3" t="s">
        <v>9</v>
      </c>
    </row>
    <row r="565" ht="12.75" customHeight="1" spans="2:8">
      <c r="B565" s="5" t="s">
        <v>9</v>
      </c>
      <c r="C565" s="3" t="s">
        <v>213</v>
      </c>
      <c r="D565" s="3" t="s">
        <v>214</v>
      </c>
      <c r="E565" s="4" t="str">
        <f>HYPERLINK("#'业务数据类型'!A40","HsChar10")</f>
        <v>HsChar10</v>
      </c>
      <c r="F565" s="3" t="s">
        <v>70</v>
      </c>
      <c r="G565" s="6" t="s">
        <v>215</v>
      </c>
      <c r="H565" s="3" t="s">
        <v>9</v>
      </c>
    </row>
    <row r="566" ht="12.75" customHeight="1" spans="2:8">
      <c r="B566" s="5" t="s">
        <v>9</v>
      </c>
      <c r="C566" s="3" t="s">
        <v>117</v>
      </c>
      <c r="D566" s="3" t="s">
        <v>118</v>
      </c>
      <c r="E566" s="4" t="str">
        <f>HYPERLINK("#'业务数据类型'!A68","HsChar50")</f>
        <v>HsChar50</v>
      </c>
      <c r="F566" s="3" t="s">
        <v>70</v>
      </c>
      <c r="G566" s="6" t="s">
        <v>9</v>
      </c>
      <c r="H566" s="3" t="s">
        <v>9</v>
      </c>
    </row>
    <row r="567" ht="12.75" customHeight="1" spans="2:8">
      <c r="B567" s="5" t="s">
        <v>9</v>
      </c>
      <c r="C567" s="3" t="s">
        <v>119</v>
      </c>
      <c r="D567" s="3" t="s">
        <v>120</v>
      </c>
      <c r="E567" s="4" t="str">
        <f>HYPERLINK("#'业务数据类型'!A107","HsDateTime")</f>
        <v>HsDateTime</v>
      </c>
      <c r="F567" s="3" t="s">
        <v>70</v>
      </c>
      <c r="G567" s="6" t="s">
        <v>9</v>
      </c>
      <c r="H567" s="3" t="s">
        <v>9</v>
      </c>
    </row>
    <row r="568" ht="12.75" customHeight="1" spans="2:8">
      <c r="B568" s="5" t="s">
        <v>9</v>
      </c>
      <c r="C568" s="3" t="s">
        <v>121</v>
      </c>
      <c r="D568" s="3" t="s">
        <v>122</v>
      </c>
      <c r="E568" s="4" t="str">
        <f>HYPERLINK("#'业务数据类型'!A68","HsChar50")</f>
        <v>HsChar50</v>
      </c>
      <c r="F568" s="3" t="s">
        <v>70</v>
      </c>
      <c r="G568" s="6" t="s">
        <v>9</v>
      </c>
      <c r="H568" s="3" t="s">
        <v>9</v>
      </c>
    </row>
    <row r="569" ht="12.75" customHeight="1" spans="2:8">
      <c r="B569" s="5" t="s">
        <v>9</v>
      </c>
      <c r="C569" s="3" t="s">
        <v>123</v>
      </c>
      <c r="D569" s="3" t="s">
        <v>124</v>
      </c>
      <c r="E569" s="4" t="str">
        <f>HYPERLINK("#'业务数据类型'!A107","HsDateTime")</f>
        <v>HsDateTime</v>
      </c>
      <c r="F569" s="3" t="s">
        <v>70</v>
      </c>
      <c r="G569" s="6" t="s">
        <v>9</v>
      </c>
      <c r="H569" s="3" t="s">
        <v>9</v>
      </c>
    </row>
    <row r="570" ht="12.75" customHeight="1" spans="2:8">
      <c r="B570" s="5" t="s">
        <v>9</v>
      </c>
      <c r="C570" s="3" t="s">
        <v>222</v>
      </c>
      <c r="D570" s="3" t="s">
        <v>223</v>
      </c>
      <c r="E570" s="4" t="str">
        <f>HYPERLINK("#'业务数据类型'!A83","HsChar1000")</f>
        <v>HsChar1000</v>
      </c>
      <c r="F570" s="3" t="s">
        <v>70</v>
      </c>
      <c r="G570" s="6" t="s">
        <v>224</v>
      </c>
      <c r="H570" s="3" t="s">
        <v>9</v>
      </c>
    </row>
    <row r="571" ht="12.75" customHeight="1" spans="2:8">
      <c r="B571" s="5" t="s">
        <v>9</v>
      </c>
      <c r="C571" s="3" t="s">
        <v>225</v>
      </c>
      <c r="D571" s="3" t="s">
        <v>226</v>
      </c>
      <c r="E571" s="4" t="str">
        <f>HYPERLINK("#'业务数据类型'!A83","HsChar1000")</f>
        <v>HsChar1000</v>
      </c>
      <c r="F571" s="3" t="s">
        <v>70</v>
      </c>
      <c r="G571" s="6" t="s">
        <v>110</v>
      </c>
      <c r="H571" s="3" t="s">
        <v>9</v>
      </c>
    </row>
    <row r="572" ht="12.75" customHeight="1" spans="2:7">
      <c r="B572" s="5" t="s">
        <v>81</v>
      </c>
      <c r="C572" s="5" t="s">
        <v>82</v>
      </c>
      <c r="D572" s="5" t="s">
        <v>83</v>
      </c>
      <c r="E572" s="5" t="s">
        <v>84</v>
      </c>
      <c r="F572" s="5" t="s">
        <v>85</v>
      </c>
      <c r="G572" s="5" t="s">
        <v>86</v>
      </c>
    </row>
    <row r="573" ht="12.75" customHeight="1" spans="2:7">
      <c r="B573" s="5" t="s">
        <v>87</v>
      </c>
      <c r="C573" s="5" t="s">
        <v>88</v>
      </c>
      <c r="D573" s="5" t="s">
        <v>5</v>
      </c>
      <c r="E573" s="5" t="s">
        <v>89</v>
      </c>
      <c r="F573" s="5" t="s">
        <v>90</v>
      </c>
      <c r="G573" s="5" t="s">
        <v>91</v>
      </c>
    </row>
    <row r="574" ht="12.75" customHeight="1" spans="2:7">
      <c r="B574" s="5" t="s">
        <v>9</v>
      </c>
      <c r="C574" s="3" t="s">
        <v>387</v>
      </c>
      <c r="D574" s="3" t="s">
        <v>93</v>
      </c>
      <c r="E574" s="3" t="s">
        <v>359</v>
      </c>
      <c r="F574" s="3" t="s">
        <v>9</v>
      </c>
      <c r="G574" s="3" t="s">
        <v>9</v>
      </c>
    </row>
    <row r="575" ht="12.75" customHeight="1" spans="2:7">
      <c r="B575" s="5" t="s">
        <v>94</v>
      </c>
      <c r="C575" s="6" t="s">
        <v>9</v>
      </c>
      <c r="D575" s="6" t="s">
        <v>9</v>
      </c>
      <c r="E575" s="6" t="s">
        <v>9</v>
      </c>
      <c r="F575" s="6" t="s">
        <v>9</v>
      </c>
      <c r="G575" s="6" t="s">
        <v>9</v>
      </c>
    </row>
    <row r="578" ht="12.75" customHeight="1" spans="2:7">
      <c r="B578" s="5" t="s">
        <v>2</v>
      </c>
      <c r="C578" s="3" t="s">
        <v>9</v>
      </c>
      <c r="D578" s="3" t="s">
        <v>9</v>
      </c>
      <c r="E578" s="3" t="s">
        <v>9</v>
      </c>
      <c r="F578" s="5" t="s">
        <v>37</v>
      </c>
      <c r="G578" s="3" t="s">
        <v>9</v>
      </c>
    </row>
    <row r="579" ht="12.75" customHeight="1" spans="2:7">
      <c r="B579" s="5" t="s">
        <v>38</v>
      </c>
      <c r="C579" s="3" t="s">
        <v>388</v>
      </c>
      <c r="D579" s="5" t="s">
        <v>40</v>
      </c>
      <c r="E579" s="3" t="s">
        <v>41</v>
      </c>
      <c r="F579" s="5" t="s">
        <v>42</v>
      </c>
      <c r="G579" s="3" t="s">
        <v>9</v>
      </c>
    </row>
    <row r="580" ht="12.75" customHeight="1" spans="2:7">
      <c r="B580" s="5" t="s">
        <v>43</v>
      </c>
      <c r="C580" s="3" t="s">
        <v>32</v>
      </c>
      <c r="D580" s="5" t="s">
        <v>44</v>
      </c>
      <c r="E580" s="3" t="s">
        <v>45</v>
      </c>
      <c r="F580" s="5" t="s">
        <v>9</v>
      </c>
      <c r="G580" s="3" t="s">
        <v>9</v>
      </c>
    </row>
    <row r="581" ht="12.75" customHeight="1" spans="2:7">
      <c r="B581" s="5" t="s">
        <v>46</v>
      </c>
      <c r="C581" s="3" t="s">
        <v>9</v>
      </c>
      <c r="D581" s="5" t="s">
        <v>47</v>
      </c>
      <c r="E581" s="3" t="s">
        <v>9</v>
      </c>
      <c r="F581" s="5" t="s">
        <v>48</v>
      </c>
      <c r="G581" s="3" t="s">
        <v>9</v>
      </c>
    </row>
    <row r="582" ht="12.75" customHeight="1" spans="2:7">
      <c r="B582" s="5" t="s">
        <v>49</v>
      </c>
      <c r="C582" s="3" t="s">
        <v>45</v>
      </c>
      <c r="D582" s="5" t="s">
        <v>50</v>
      </c>
      <c r="E582" s="3" t="s">
        <v>45</v>
      </c>
      <c r="F582" s="5" t="s">
        <v>51</v>
      </c>
      <c r="G582" s="3" t="s">
        <v>45</v>
      </c>
    </row>
    <row r="583" ht="12.75" customHeight="1" spans="2:7">
      <c r="B583" s="5" t="s">
        <v>52</v>
      </c>
      <c r="C583" s="3" t="s">
        <v>9</v>
      </c>
      <c r="D583" s="5" t="s">
        <v>53</v>
      </c>
      <c r="E583" s="3" t="s">
        <v>9</v>
      </c>
      <c r="F583" s="5" t="s">
        <v>54</v>
      </c>
      <c r="G583" s="3" t="s">
        <v>9</v>
      </c>
    </row>
    <row r="584" ht="12.75" customHeight="1" spans="2:7">
      <c r="B584" s="5" t="s">
        <v>55</v>
      </c>
      <c r="C584" s="3" t="s">
        <v>9</v>
      </c>
      <c r="D584" s="5" t="s">
        <v>56</v>
      </c>
      <c r="E584" s="3" t="s">
        <v>9</v>
      </c>
      <c r="F584" s="5" t="s">
        <v>57</v>
      </c>
      <c r="G584" s="3" t="s">
        <v>9</v>
      </c>
    </row>
    <row r="585" ht="12.75" customHeight="1" spans="2:7">
      <c r="B585" s="5" t="s">
        <v>58</v>
      </c>
      <c r="C585" s="3" t="s">
        <v>9</v>
      </c>
      <c r="D585" s="5" t="s">
        <v>59</v>
      </c>
      <c r="E585" s="3" t="s">
        <v>9</v>
      </c>
      <c r="F585" s="5" t="s">
        <v>9</v>
      </c>
      <c r="G585" s="3" t="s">
        <v>9</v>
      </c>
    </row>
    <row r="586" ht="12.75" customHeight="1" spans="2:7">
      <c r="B586" s="5" t="s">
        <v>6</v>
      </c>
      <c r="C586" s="3" t="s">
        <v>9</v>
      </c>
      <c r="D586" s="3" t="s">
        <v>9</v>
      </c>
      <c r="E586" s="3" t="s">
        <v>9</v>
      </c>
      <c r="F586" s="3" t="s">
        <v>9</v>
      </c>
      <c r="G586" s="3" t="s">
        <v>9</v>
      </c>
    </row>
    <row r="587" ht="12.75" customHeight="1" spans="2:7">
      <c r="B587" s="5" t="s">
        <v>9</v>
      </c>
      <c r="C587" s="3" t="s">
        <v>9</v>
      </c>
      <c r="D587" s="3" t="s">
        <v>9</v>
      </c>
      <c r="E587" s="3" t="s">
        <v>9</v>
      </c>
      <c r="F587" s="3" t="s">
        <v>9</v>
      </c>
      <c r="G587" s="3" t="s">
        <v>9</v>
      </c>
    </row>
    <row r="588" ht="12.75" customHeight="1" spans="2:8">
      <c r="B588" s="5" t="s">
        <v>60</v>
      </c>
      <c r="C588" s="5" t="s">
        <v>61</v>
      </c>
      <c r="D588" s="5" t="s">
        <v>43</v>
      </c>
      <c r="E588" s="5" t="s">
        <v>62</v>
      </c>
      <c r="F588" s="5" t="s">
        <v>63</v>
      </c>
      <c r="G588" s="5" t="s">
        <v>64</v>
      </c>
      <c r="H588" s="5" t="s">
        <v>65</v>
      </c>
    </row>
    <row r="589" ht="12.75" customHeight="1" spans="2:8">
      <c r="B589" s="5" t="s">
        <v>9</v>
      </c>
      <c r="C589" s="3" t="s">
        <v>389</v>
      </c>
      <c r="D589" s="3" t="s">
        <v>390</v>
      </c>
      <c r="E589" s="4" t="str">
        <f>HYPERLINK("#'业务数据类型'!A68","HsChar50")</f>
        <v>HsChar50</v>
      </c>
      <c r="F589" s="3" t="s">
        <v>45</v>
      </c>
      <c r="G589" s="6" t="s">
        <v>9</v>
      </c>
      <c r="H589" s="3" t="s">
        <v>9</v>
      </c>
    </row>
    <row r="590" ht="12.75" customHeight="1" spans="2:8">
      <c r="B590" s="5" t="s">
        <v>9</v>
      </c>
      <c r="C590" s="3" t="s">
        <v>205</v>
      </c>
      <c r="D590" s="3" t="s">
        <v>206</v>
      </c>
      <c r="E590" s="4" t="str">
        <f>HYPERLINK("#'业务数据类型'!A68","HsChar50")</f>
        <v>HsChar50</v>
      </c>
      <c r="F590" s="3" t="s">
        <v>70</v>
      </c>
      <c r="G590" s="6" t="s">
        <v>9</v>
      </c>
      <c r="H590" s="3" t="s">
        <v>9</v>
      </c>
    </row>
    <row r="591" ht="12.75" customHeight="1" spans="2:8">
      <c r="B591" s="5" t="s">
        <v>9</v>
      </c>
      <c r="C591" s="3" t="s">
        <v>96</v>
      </c>
      <c r="D591" s="3" t="s">
        <v>97</v>
      </c>
      <c r="E591" s="4" t="str">
        <f>HYPERLINK("#'业务数据类型'!A66","HsChar32")</f>
        <v>HsChar32</v>
      </c>
      <c r="F591" s="3" t="s">
        <v>70</v>
      </c>
      <c r="G591" s="6" t="s">
        <v>9</v>
      </c>
      <c r="H591" s="3" t="s">
        <v>9</v>
      </c>
    </row>
    <row r="592" ht="12.75" customHeight="1" spans="2:8">
      <c r="B592" s="5" t="s">
        <v>9</v>
      </c>
      <c r="C592" s="3" t="s">
        <v>342</v>
      </c>
      <c r="D592" s="3" t="s">
        <v>343</v>
      </c>
      <c r="E592" s="4" t="str">
        <f>HYPERLINK("#'业务数据类型'!A72","HsChar100")</f>
        <v>HsChar100</v>
      </c>
      <c r="F592" s="3" t="s">
        <v>70</v>
      </c>
      <c r="G592" s="6" t="s">
        <v>9</v>
      </c>
      <c r="H592" s="3" t="s">
        <v>9</v>
      </c>
    </row>
    <row r="593" ht="12.75" customHeight="1" spans="2:8">
      <c r="B593" s="5" t="s">
        <v>9</v>
      </c>
      <c r="C593" s="3" t="s">
        <v>100</v>
      </c>
      <c r="D593" s="3" t="s">
        <v>101</v>
      </c>
      <c r="E593" s="4" t="str">
        <f>HYPERLINK("#'业务数据类型'!A72","HsChar100")</f>
        <v>HsChar100</v>
      </c>
      <c r="F593" s="3" t="s">
        <v>70</v>
      </c>
      <c r="G593" s="6" t="s">
        <v>9</v>
      </c>
      <c r="H593" s="3" t="s">
        <v>9</v>
      </c>
    </row>
    <row r="594" ht="12.75" customHeight="1" spans="2:8">
      <c r="B594" s="5" t="s">
        <v>9</v>
      </c>
      <c r="C594" s="3" t="s">
        <v>125</v>
      </c>
      <c r="D594" s="3" t="s">
        <v>126</v>
      </c>
      <c r="E594" s="4" t="str">
        <f>HYPERLINK("#'业务数据类型'!A68","HsChar50")</f>
        <v>HsChar50</v>
      </c>
      <c r="F594" s="3" t="s">
        <v>70</v>
      </c>
      <c r="G594" s="6" t="s">
        <v>9</v>
      </c>
      <c r="H594" s="3" t="s">
        <v>9</v>
      </c>
    </row>
    <row r="595" ht="12.75" customHeight="1" spans="2:8">
      <c r="B595" s="5" t="s">
        <v>9</v>
      </c>
      <c r="C595" s="3" t="s">
        <v>324</v>
      </c>
      <c r="D595" s="3" t="s">
        <v>325</v>
      </c>
      <c r="E595" s="4" t="str">
        <f>HYPERLINK("#'业务数据类型'!A107","HsDateTime")</f>
        <v>HsDateTime</v>
      </c>
      <c r="F595" s="3" t="s">
        <v>70</v>
      </c>
      <c r="G595" s="6" t="s">
        <v>9</v>
      </c>
      <c r="H595" s="3" t="s">
        <v>9</v>
      </c>
    </row>
    <row r="596" ht="12.75" customHeight="1" spans="2:8">
      <c r="B596" s="5" t="s">
        <v>9</v>
      </c>
      <c r="C596" s="3" t="s">
        <v>304</v>
      </c>
      <c r="D596" s="3" t="s">
        <v>305</v>
      </c>
      <c r="E596" s="4" t="str">
        <f>HYPERLINK("#'业务数据类型'!A85","HsChar4000")</f>
        <v>HsChar4000</v>
      </c>
      <c r="F596" s="3" t="s">
        <v>70</v>
      </c>
      <c r="G596" s="6" t="s">
        <v>9</v>
      </c>
      <c r="H596" s="3" t="s">
        <v>9</v>
      </c>
    </row>
    <row r="597" ht="12.75" customHeight="1" spans="2:8">
      <c r="B597" s="5" t="s">
        <v>9</v>
      </c>
      <c r="C597" s="3" t="s">
        <v>391</v>
      </c>
      <c r="D597" s="3" t="s">
        <v>392</v>
      </c>
      <c r="E597" s="4" t="str">
        <f>HYPERLINK("#'业务数据类型'!A105","Hsnum16")</f>
        <v>Hsnum16</v>
      </c>
      <c r="F597" s="3" t="s">
        <v>70</v>
      </c>
      <c r="G597" s="6" t="s">
        <v>9</v>
      </c>
      <c r="H597" s="3" t="s">
        <v>9</v>
      </c>
    </row>
    <row r="598" ht="12.75" customHeight="1" spans="2:8">
      <c r="B598" s="5" t="s">
        <v>9</v>
      </c>
      <c r="C598" s="3" t="s">
        <v>312</v>
      </c>
      <c r="D598" s="3" t="s">
        <v>313</v>
      </c>
      <c r="E598" s="4" t="str">
        <f>HYPERLINK("#'业务数据类型'!A85","HsChar4000")</f>
        <v>HsChar4000</v>
      </c>
      <c r="F598" s="3" t="s">
        <v>70</v>
      </c>
      <c r="G598" s="6" t="s">
        <v>9</v>
      </c>
      <c r="H598" s="3" t="s">
        <v>9</v>
      </c>
    </row>
    <row r="599" ht="12.75" customHeight="1" spans="2:8">
      <c r="B599" s="5" t="s">
        <v>9</v>
      </c>
      <c r="C599" s="3" t="s">
        <v>310</v>
      </c>
      <c r="D599" s="3" t="s">
        <v>311</v>
      </c>
      <c r="E599" s="4" t="str">
        <f>HYPERLINK("#'业务数据类型'!A85","HsChar4000")</f>
        <v>HsChar4000</v>
      </c>
      <c r="F599" s="3" t="s">
        <v>70</v>
      </c>
      <c r="G599" s="6" t="s">
        <v>9</v>
      </c>
      <c r="H599" s="3" t="s">
        <v>9</v>
      </c>
    </row>
    <row r="600" ht="12.75" customHeight="1" spans="2:8">
      <c r="B600" s="5" t="s">
        <v>9</v>
      </c>
      <c r="C600" s="3" t="s">
        <v>393</v>
      </c>
      <c r="D600" s="3" t="s">
        <v>394</v>
      </c>
      <c r="E600" s="4" t="str">
        <f>HYPERLINK("#'业务数据类型'!A68","HsChar50")</f>
        <v>HsChar50</v>
      </c>
      <c r="F600" s="3" t="s">
        <v>70</v>
      </c>
      <c r="G600" s="6" t="s">
        <v>395</v>
      </c>
      <c r="H600" s="3" t="s">
        <v>9</v>
      </c>
    </row>
    <row r="601" ht="12.75" customHeight="1" spans="2:8">
      <c r="B601" s="5" t="s">
        <v>9</v>
      </c>
      <c r="C601" s="3" t="s">
        <v>396</v>
      </c>
      <c r="D601" s="3" t="s">
        <v>397</v>
      </c>
      <c r="E601" s="4" t="str">
        <f>HYPERLINK("#'业务数据类型'!A68","HsChar50")</f>
        <v>HsChar50</v>
      </c>
      <c r="F601" s="3" t="s">
        <v>70</v>
      </c>
      <c r="G601" s="6" t="s">
        <v>398</v>
      </c>
      <c r="H601" s="3" t="s">
        <v>9</v>
      </c>
    </row>
    <row r="602" ht="12.75" customHeight="1" spans="2:8">
      <c r="B602" s="5" t="s">
        <v>9</v>
      </c>
      <c r="C602" s="3" t="s">
        <v>350</v>
      </c>
      <c r="D602" s="3" t="s">
        <v>351</v>
      </c>
      <c r="E602" s="4" t="str">
        <f>HYPERLINK("#'业务数据类型'!A68","HsChar50")</f>
        <v>HsChar50</v>
      </c>
      <c r="F602" s="3" t="s">
        <v>70</v>
      </c>
      <c r="G602" s="6" t="s">
        <v>352</v>
      </c>
      <c r="H602" s="3" t="s">
        <v>9</v>
      </c>
    </row>
    <row r="603" ht="12.75" customHeight="1" spans="2:8">
      <c r="B603" s="5" t="s">
        <v>9</v>
      </c>
      <c r="C603" s="3" t="s">
        <v>334</v>
      </c>
      <c r="D603" s="3" t="s">
        <v>335</v>
      </c>
      <c r="E603" s="4" t="str">
        <f>HYPERLINK("#'业务数据类型'!A72","HsChar100")</f>
        <v>HsChar100</v>
      </c>
      <c r="F603" s="3" t="s">
        <v>70</v>
      </c>
      <c r="G603" s="6" t="s">
        <v>9</v>
      </c>
      <c r="H603" s="3" t="s">
        <v>9</v>
      </c>
    </row>
    <row r="604" ht="12.75" customHeight="1" spans="2:8">
      <c r="B604" s="5" t="s">
        <v>9</v>
      </c>
      <c r="C604" s="3" t="s">
        <v>185</v>
      </c>
      <c r="D604" s="3" t="s">
        <v>64</v>
      </c>
      <c r="E604" s="4" t="str">
        <f>HYPERLINK("#'业务数据类型'!A82","HsAbstract")</f>
        <v>HsAbstract</v>
      </c>
      <c r="F604" s="3" t="s">
        <v>70</v>
      </c>
      <c r="G604" s="6" t="s">
        <v>110</v>
      </c>
      <c r="H604" s="3" t="s">
        <v>9</v>
      </c>
    </row>
    <row r="605" ht="12.75" customHeight="1" spans="2:8">
      <c r="B605" s="5" t="s">
        <v>9</v>
      </c>
      <c r="C605" s="3" t="s">
        <v>222</v>
      </c>
      <c r="D605" s="3" t="s">
        <v>223</v>
      </c>
      <c r="E605" s="4" t="str">
        <f>HYPERLINK("#'业务数据类型'!A83","HsChar1000")</f>
        <v>HsChar1000</v>
      </c>
      <c r="F605" s="3" t="s">
        <v>70</v>
      </c>
      <c r="G605" s="6" t="s">
        <v>224</v>
      </c>
      <c r="H605" s="3" t="s">
        <v>9</v>
      </c>
    </row>
    <row r="606" ht="12.75" customHeight="1" spans="2:8">
      <c r="B606" s="5" t="s">
        <v>9</v>
      </c>
      <c r="C606" s="3" t="s">
        <v>117</v>
      </c>
      <c r="D606" s="3" t="s">
        <v>118</v>
      </c>
      <c r="E606" s="4" t="str">
        <f>HYPERLINK("#'业务数据类型'!A68","HsChar50")</f>
        <v>HsChar50</v>
      </c>
      <c r="F606" s="3" t="s">
        <v>70</v>
      </c>
      <c r="G606" s="6" t="s">
        <v>9</v>
      </c>
      <c r="H606" s="3" t="s">
        <v>9</v>
      </c>
    </row>
    <row r="607" ht="12.75" customHeight="1" spans="2:8">
      <c r="B607" s="5" t="s">
        <v>9</v>
      </c>
      <c r="C607" s="3" t="s">
        <v>119</v>
      </c>
      <c r="D607" s="3" t="s">
        <v>120</v>
      </c>
      <c r="E607" s="4" t="str">
        <f>HYPERLINK("#'业务数据类型'!A107","HsDateTime")</f>
        <v>HsDateTime</v>
      </c>
      <c r="F607" s="3" t="s">
        <v>70</v>
      </c>
      <c r="G607" s="6" t="s">
        <v>9</v>
      </c>
      <c r="H607" s="3" t="s">
        <v>9</v>
      </c>
    </row>
    <row r="608" ht="12.75" customHeight="1" spans="2:8">
      <c r="B608" s="5" t="s">
        <v>9</v>
      </c>
      <c r="C608" s="3" t="s">
        <v>121</v>
      </c>
      <c r="D608" s="3" t="s">
        <v>122</v>
      </c>
      <c r="E608" s="4" t="str">
        <f>HYPERLINK("#'业务数据类型'!A68","HsChar50")</f>
        <v>HsChar50</v>
      </c>
      <c r="F608" s="3" t="s">
        <v>70</v>
      </c>
      <c r="G608" s="6" t="s">
        <v>9</v>
      </c>
      <c r="H608" s="3" t="s">
        <v>9</v>
      </c>
    </row>
    <row r="609" ht="12.75" customHeight="1" spans="2:8">
      <c r="B609" s="5" t="s">
        <v>9</v>
      </c>
      <c r="C609" s="3" t="s">
        <v>123</v>
      </c>
      <c r="D609" s="3" t="s">
        <v>124</v>
      </c>
      <c r="E609" s="4" t="str">
        <f>HYPERLINK("#'业务数据类型'!A107","HsDateTime")</f>
        <v>HsDateTime</v>
      </c>
      <c r="F609" s="3" t="s">
        <v>70</v>
      </c>
      <c r="G609" s="6" t="s">
        <v>9</v>
      </c>
      <c r="H609" s="3" t="s">
        <v>9</v>
      </c>
    </row>
    <row r="610" ht="12.75" customHeight="1" spans="2:8">
      <c r="B610" s="5" t="s">
        <v>9</v>
      </c>
      <c r="C610" s="3" t="s">
        <v>338</v>
      </c>
      <c r="D610" s="3" t="s">
        <v>339</v>
      </c>
      <c r="E610" s="4" t="str">
        <f>HYPERLINK("#'业务数据类型'!A105","Hsnum16")</f>
        <v>Hsnum16</v>
      </c>
      <c r="F610" s="3" t="s">
        <v>70</v>
      </c>
      <c r="G610" s="6" t="s">
        <v>9</v>
      </c>
      <c r="H610" s="3" t="s">
        <v>9</v>
      </c>
    </row>
    <row r="611" ht="12.75" customHeight="1" spans="2:8">
      <c r="B611" s="5" t="s">
        <v>9</v>
      </c>
      <c r="C611" s="3" t="s">
        <v>306</v>
      </c>
      <c r="D611" s="3" t="s">
        <v>307</v>
      </c>
      <c r="E611" s="4" t="str">
        <f>HYPERLINK("#'业务数据类型'!A85","HsChar4000")</f>
        <v>HsChar4000</v>
      </c>
      <c r="F611" s="3" t="s">
        <v>70</v>
      </c>
      <c r="G611" s="6" t="s">
        <v>9</v>
      </c>
      <c r="H611" s="3" t="s">
        <v>9</v>
      </c>
    </row>
    <row r="612" ht="12.75" customHeight="1" spans="2:7">
      <c r="B612" s="5" t="s">
        <v>81</v>
      </c>
      <c r="C612" s="5" t="s">
        <v>82</v>
      </c>
      <c r="D612" s="5" t="s">
        <v>83</v>
      </c>
      <c r="E612" s="5" t="s">
        <v>84</v>
      </c>
      <c r="F612" s="5" t="s">
        <v>85</v>
      </c>
      <c r="G612" s="5" t="s">
        <v>86</v>
      </c>
    </row>
    <row r="613" ht="12.75" customHeight="1" spans="2:7">
      <c r="B613" s="5" t="s">
        <v>87</v>
      </c>
      <c r="C613" s="5" t="s">
        <v>88</v>
      </c>
      <c r="D613" s="5" t="s">
        <v>5</v>
      </c>
      <c r="E613" s="5" t="s">
        <v>89</v>
      </c>
      <c r="F613" s="5" t="s">
        <v>90</v>
      </c>
      <c r="G613" s="5" t="s">
        <v>91</v>
      </c>
    </row>
    <row r="614" ht="12.75" customHeight="1" spans="2:7">
      <c r="B614" s="5" t="s">
        <v>9</v>
      </c>
      <c r="C614" s="3" t="s">
        <v>399</v>
      </c>
      <c r="D614" s="3" t="s">
        <v>93</v>
      </c>
      <c r="E614" s="3" t="s">
        <v>389</v>
      </c>
      <c r="F614" s="3" t="s">
        <v>9</v>
      </c>
      <c r="G614" s="3" t="s">
        <v>9</v>
      </c>
    </row>
    <row r="615" ht="12.75" customHeight="1" spans="2:7">
      <c r="B615" s="5" t="s">
        <v>94</v>
      </c>
      <c r="C615" s="6" t="s">
        <v>9</v>
      </c>
      <c r="D615" s="6" t="s">
        <v>9</v>
      </c>
      <c r="E615" s="6" t="s">
        <v>9</v>
      </c>
      <c r="F615" s="6" t="s">
        <v>9</v>
      </c>
      <c r="G615" s="6" t="s">
        <v>9</v>
      </c>
    </row>
    <row r="618" ht="12.75" customHeight="1" spans="2:7">
      <c r="B618" s="5" t="s">
        <v>2</v>
      </c>
      <c r="C618" s="3" t="s">
        <v>9</v>
      </c>
      <c r="D618" s="3" t="s">
        <v>9</v>
      </c>
      <c r="E618" s="3" t="s">
        <v>9</v>
      </c>
      <c r="F618" s="5" t="s">
        <v>37</v>
      </c>
      <c r="G618" s="3" t="s">
        <v>9</v>
      </c>
    </row>
    <row r="619" ht="12.75" customHeight="1" spans="2:7">
      <c r="B619" s="5" t="s">
        <v>38</v>
      </c>
      <c r="C619" s="3" t="s">
        <v>400</v>
      </c>
      <c r="D619" s="5" t="s">
        <v>40</v>
      </c>
      <c r="E619" s="3" t="s">
        <v>41</v>
      </c>
      <c r="F619" s="5" t="s">
        <v>42</v>
      </c>
      <c r="G619" s="3" t="s">
        <v>9</v>
      </c>
    </row>
    <row r="620" ht="12.75" customHeight="1" spans="2:7">
      <c r="B620" s="5" t="s">
        <v>43</v>
      </c>
      <c r="C620" s="3" t="s">
        <v>33</v>
      </c>
      <c r="D620" s="5" t="s">
        <v>44</v>
      </c>
      <c r="E620" s="3" t="s">
        <v>45</v>
      </c>
      <c r="F620" s="5" t="s">
        <v>9</v>
      </c>
      <c r="G620" s="3" t="s">
        <v>9</v>
      </c>
    </row>
    <row r="621" ht="12.75" customHeight="1" spans="2:7">
      <c r="B621" s="5" t="s">
        <v>46</v>
      </c>
      <c r="C621" s="3" t="s">
        <v>9</v>
      </c>
      <c r="D621" s="5" t="s">
        <v>47</v>
      </c>
      <c r="E621" s="3" t="s">
        <v>9</v>
      </c>
      <c r="F621" s="5" t="s">
        <v>48</v>
      </c>
      <c r="G621" s="3" t="s">
        <v>9</v>
      </c>
    </row>
    <row r="622" ht="12.75" customHeight="1" spans="2:7">
      <c r="B622" s="5" t="s">
        <v>49</v>
      </c>
      <c r="C622" s="3" t="s">
        <v>45</v>
      </c>
      <c r="D622" s="5" t="s">
        <v>50</v>
      </c>
      <c r="E622" s="3" t="s">
        <v>45</v>
      </c>
      <c r="F622" s="5" t="s">
        <v>51</v>
      </c>
      <c r="G622" s="3" t="s">
        <v>45</v>
      </c>
    </row>
    <row r="623" ht="12.75" customHeight="1" spans="2:7">
      <c r="B623" s="5" t="s">
        <v>52</v>
      </c>
      <c r="C623" s="3" t="s">
        <v>9</v>
      </c>
      <c r="D623" s="5" t="s">
        <v>53</v>
      </c>
      <c r="E623" s="3" t="s">
        <v>9</v>
      </c>
      <c r="F623" s="5" t="s">
        <v>54</v>
      </c>
      <c r="G623" s="3" t="s">
        <v>9</v>
      </c>
    </row>
    <row r="624" ht="12.75" customHeight="1" spans="2:7">
      <c r="B624" s="5" t="s">
        <v>55</v>
      </c>
      <c r="C624" s="3" t="s">
        <v>9</v>
      </c>
      <c r="D624" s="5" t="s">
        <v>56</v>
      </c>
      <c r="E624" s="3" t="s">
        <v>9</v>
      </c>
      <c r="F624" s="5" t="s">
        <v>57</v>
      </c>
      <c r="G624" s="3" t="s">
        <v>9</v>
      </c>
    </row>
    <row r="625" ht="12.75" customHeight="1" spans="2:7">
      <c r="B625" s="5" t="s">
        <v>58</v>
      </c>
      <c r="C625" s="3" t="s">
        <v>9</v>
      </c>
      <c r="D625" s="5" t="s">
        <v>59</v>
      </c>
      <c r="E625" s="3" t="s">
        <v>9</v>
      </c>
      <c r="F625" s="5" t="s">
        <v>9</v>
      </c>
      <c r="G625" s="3" t="s">
        <v>9</v>
      </c>
    </row>
    <row r="626" ht="12.75" customHeight="1" spans="2:7">
      <c r="B626" s="5" t="s">
        <v>6</v>
      </c>
      <c r="C626" s="3" t="s">
        <v>9</v>
      </c>
      <c r="D626" s="3" t="s">
        <v>9</v>
      </c>
      <c r="E626" s="3" t="s">
        <v>9</v>
      </c>
      <c r="F626" s="3" t="s">
        <v>9</v>
      </c>
      <c r="G626" s="3" t="s">
        <v>9</v>
      </c>
    </row>
    <row r="627" ht="12.75" customHeight="1" spans="2:7">
      <c r="B627" s="5" t="s">
        <v>9</v>
      </c>
      <c r="C627" s="3" t="s">
        <v>9</v>
      </c>
      <c r="D627" s="3" t="s">
        <v>9</v>
      </c>
      <c r="E627" s="3" t="s">
        <v>9</v>
      </c>
      <c r="F627" s="3" t="s">
        <v>9</v>
      </c>
      <c r="G627" s="3" t="s">
        <v>9</v>
      </c>
    </row>
    <row r="628" ht="12.75" customHeight="1" spans="2:8">
      <c r="B628" s="5" t="s">
        <v>60</v>
      </c>
      <c r="C628" s="5" t="s">
        <v>61</v>
      </c>
      <c r="D628" s="5" t="s">
        <v>43</v>
      </c>
      <c r="E628" s="5" t="s">
        <v>62</v>
      </c>
      <c r="F628" s="5" t="s">
        <v>63</v>
      </c>
      <c r="G628" s="5" t="s">
        <v>64</v>
      </c>
      <c r="H628" s="5" t="s">
        <v>65</v>
      </c>
    </row>
    <row r="629" ht="12.75" customHeight="1" spans="2:8">
      <c r="B629" s="5" t="s">
        <v>9</v>
      </c>
      <c r="C629" s="3" t="s">
        <v>401</v>
      </c>
      <c r="D629" s="3" t="s">
        <v>402</v>
      </c>
      <c r="E629" s="4" t="str">
        <f>HYPERLINK("#'业务数据类型'!A68","HsChar50")</f>
        <v>HsChar50</v>
      </c>
      <c r="F629" s="3" t="s">
        <v>45</v>
      </c>
      <c r="G629" s="6" t="s">
        <v>9</v>
      </c>
      <c r="H629" s="3" t="s">
        <v>9</v>
      </c>
    </row>
    <row r="630" ht="12.75" customHeight="1" spans="2:8">
      <c r="B630" s="5" t="s">
        <v>9</v>
      </c>
      <c r="C630" s="3" t="s">
        <v>205</v>
      </c>
      <c r="D630" s="3" t="s">
        <v>206</v>
      </c>
      <c r="E630" s="4" t="str">
        <f>HYPERLINK("#'业务数据类型'!A68","HsChar50")</f>
        <v>HsChar50</v>
      </c>
      <c r="F630" s="3" t="s">
        <v>70</v>
      </c>
      <c r="G630" s="6" t="s">
        <v>9</v>
      </c>
      <c r="H630" s="3" t="s">
        <v>9</v>
      </c>
    </row>
    <row r="631" ht="12.75" customHeight="1" spans="2:8">
      <c r="B631" s="5" t="s">
        <v>9</v>
      </c>
      <c r="C631" s="3" t="s">
        <v>96</v>
      </c>
      <c r="D631" s="3" t="s">
        <v>97</v>
      </c>
      <c r="E631" s="4" t="str">
        <f>HYPERLINK("#'业务数据类型'!A66","HsChar32")</f>
        <v>HsChar32</v>
      </c>
      <c r="F631" s="3" t="s">
        <v>70</v>
      </c>
      <c r="G631" s="6" t="s">
        <v>9</v>
      </c>
      <c r="H631" s="3" t="s">
        <v>9</v>
      </c>
    </row>
    <row r="632" ht="12.75" customHeight="1" spans="2:8">
      <c r="B632" s="5" t="s">
        <v>9</v>
      </c>
      <c r="C632" s="3" t="s">
        <v>314</v>
      </c>
      <c r="D632" s="3" t="s">
        <v>315</v>
      </c>
      <c r="E632" s="4" t="str">
        <f>HYPERLINK("#'业务数据类型'!A27","HsAmount")</f>
        <v>HsAmount</v>
      </c>
      <c r="F632" s="3" t="s">
        <v>70</v>
      </c>
      <c r="G632" s="6" t="s">
        <v>9</v>
      </c>
      <c r="H632" s="3" t="s">
        <v>9</v>
      </c>
    </row>
    <row r="633" ht="12.75" customHeight="1" spans="2:8">
      <c r="B633" s="5" t="s">
        <v>9</v>
      </c>
      <c r="C633" s="3" t="s">
        <v>391</v>
      </c>
      <c r="D633" s="3" t="s">
        <v>392</v>
      </c>
      <c r="E633" s="4" t="str">
        <f>HYPERLINK("#'业务数据类型'!A105","Hsnum16")</f>
        <v>Hsnum16</v>
      </c>
      <c r="F633" s="3" t="s">
        <v>70</v>
      </c>
      <c r="G633" s="6" t="s">
        <v>9</v>
      </c>
      <c r="H633" s="3" t="s">
        <v>9</v>
      </c>
    </row>
    <row r="634" ht="12.75" customHeight="1" spans="2:8">
      <c r="B634" s="5" t="s">
        <v>9</v>
      </c>
      <c r="C634" s="3" t="s">
        <v>117</v>
      </c>
      <c r="D634" s="3" t="s">
        <v>118</v>
      </c>
      <c r="E634" s="4" t="str">
        <f>HYPERLINK("#'业务数据类型'!A68","HsChar50")</f>
        <v>HsChar50</v>
      </c>
      <c r="F634" s="3" t="s">
        <v>70</v>
      </c>
      <c r="G634" s="6" t="s">
        <v>9</v>
      </c>
      <c r="H634" s="3" t="s">
        <v>9</v>
      </c>
    </row>
    <row r="635" ht="12.75" customHeight="1" spans="2:8">
      <c r="B635" s="5" t="s">
        <v>9</v>
      </c>
      <c r="C635" s="3" t="s">
        <v>119</v>
      </c>
      <c r="D635" s="3" t="s">
        <v>120</v>
      </c>
      <c r="E635" s="4" t="str">
        <f>HYPERLINK("#'业务数据类型'!A107","HsDateTime")</f>
        <v>HsDateTime</v>
      </c>
      <c r="F635" s="3" t="s">
        <v>70</v>
      </c>
      <c r="G635" s="6" t="s">
        <v>9</v>
      </c>
      <c r="H635" s="3" t="s">
        <v>9</v>
      </c>
    </row>
    <row r="636" ht="12.75" customHeight="1" spans="2:8">
      <c r="B636" s="5" t="s">
        <v>9</v>
      </c>
      <c r="C636" s="3" t="s">
        <v>121</v>
      </c>
      <c r="D636" s="3" t="s">
        <v>122</v>
      </c>
      <c r="E636" s="4" t="str">
        <f>HYPERLINK("#'业务数据类型'!A68","HsChar50")</f>
        <v>HsChar50</v>
      </c>
      <c r="F636" s="3" t="s">
        <v>70</v>
      </c>
      <c r="G636" s="6" t="s">
        <v>9</v>
      </c>
      <c r="H636" s="3" t="s">
        <v>9</v>
      </c>
    </row>
    <row r="637" ht="12.75" customHeight="1" spans="2:8">
      <c r="B637" s="5" t="s">
        <v>9</v>
      </c>
      <c r="C637" s="3" t="s">
        <v>123</v>
      </c>
      <c r="D637" s="3" t="s">
        <v>124</v>
      </c>
      <c r="E637" s="4" t="str">
        <f>HYPERLINK("#'业务数据类型'!A107","HsDateTime")</f>
        <v>HsDateTime</v>
      </c>
      <c r="F637" s="3" t="s">
        <v>70</v>
      </c>
      <c r="G637" s="6" t="s">
        <v>9</v>
      </c>
      <c r="H637" s="3" t="s">
        <v>9</v>
      </c>
    </row>
    <row r="638" ht="12.75" customHeight="1" spans="2:8">
      <c r="B638" s="5" t="s">
        <v>9</v>
      </c>
      <c r="C638" s="3" t="s">
        <v>306</v>
      </c>
      <c r="D638" s="3" t="s">
        <v>307</v>
      </c>
      <c r="E638" s="4" t="str">
        <f>HYPERLINK("#'业务数据类型'!A85","HsChar4000")</f>
        <v>HsChar4000</v>
      </c>
      <c r="F638" s="3" t="s">
        <v>70</v>
      </c>
      <c r="G638" s="6" t="s">
        <v>9</v>
      </c>
      <c r="H638" s="3" t="s">
        <v>9</v>
      </c>
    </row>
    <row r="639" ht="12.75" customHeight="1" spans="2:8">
      <c r="B639" s="5" t="s">
        <v>9</v>
      </c>
      <c r="C639" s="3" t="s">
        <v>350</v>
      </c>
      <c r="D639" s="3" t="s">
        <v>351</v>
      </c>
      <c r="E639" s="4" t="str">
        <f>HYPERLINK("#'业务数据类型'!A68","HsChar50")</f>
        <v>HsChar50</v>
      </c>
      <c r="F639" s="3" t="s">
        <v>70</v>
      </c>
      <c r="G639" s="6" t="s">
        <v>352</v>
      </c>
      <c r="H639" s="3" t="s">
        <v>9</v>
      </c>
    </row>
    <row r="640" ht="12.75" customHeight="1" spans="2:8">
      <c r="B640" s="5" t="s">
        <v>9</v>
      </c>
      <c r="C640" s="3" t="s">
        <v>100</v>
      </c>
      <c r="D640" s="3" t="s">
        <v>101</v>
      </c>
      <c r="E640" s="4" t="str">
        <f>HYPERLINK("#'业务数据类型'!A72","HsChar100")</f>
        <v>HsChar100</v>
      </c>
      <c r="F640" s="3" t="s">
        <v>70</v>
      </c>
      <c r="G640" s="6" t="s">
        <v>9</v>
      </c>
      <c r="H640" s="3" t="s">
        <v>9</v>
      </c>
    </row>
    <row r="641" ht="12.75" customHeight="1" spans="2:8">
      <c r="B641" s="5" t="s">
        <v>9</v>
      </c>
      <c r="C641" s="3" t="s">
        <v>342</v>
      </c>
      <c r="D641" s="3" t="s">
        <v>343</v>
      </c>
      <c r="E641" s="4" t="str">
        <f>HYPERLINK("#'业务数据类型'!A72","HsChar100")</f>
        <v>HsChar100</v>
      </c>
      <c r="F641" s="3" t="s">
        <v>70</v>
      </c>
      <c r="G641" s="6" t="s">
        <v>9</v>
      </c>
      <c r="H641" s="3" t="s">
        <v>9</v>
      </c>
    </row>
    <row r="642" ht="12.75" customHeight="1" spans="2:8">
      <c r="B642" s="5" t="s">
        <v>9</v>
      </c>
      <c r="C642" s="3" t="s">
        <v>185</v>
      </c>
      <c r="D642" s="3" t="s">
        <v>64</v>
      </c>
      <c r="E642" s="4" t="str">
        <f>HYPERLINK("#'业务数据类型'!A82","HsAbstract")</f>
        <v>HsAbstract</v>
      </c>
      <c r="F642" s="3" t="s">
        <v>70</v>
      </c>
      <c r="G642" s="6" t="s">
        <v>110</v>
      </c>
      <c r="H642" s="3" t="s">
        <v>9</v>
      </c>
    </row>
    <row r="643" ht="12.75" customHeight="1" spans="2:8">
      <c r="B643" s="5" t="s">
        <v>9</v>
      </c>
      <c r="C643" s="3" t="s">
        <v>222</v>
      </c>
      <c r="D643" s="3" t="s">
        <v>223</v>
      </c>
      <c r="E643" s="4" t="str">
        <f>HYPERLINK("#'业务数据类型'!A83","HsChar1000")</f>
        <v>HsChar1000</v>
      </c>
      <c r="F643" s="3" t="s">
        <v>70</v>
      </c>
      <c r="G643" s="6" t="s">
        <v>224</v>
      </c>
      <c r="H643" s="3" t="s">
        <v>9</v>
      </c>
    </row>
    <row r="644" ht="12.75" customHeight="1" spans="2:8">
      <c r="B644" s="5" t="s">
        <v>9</v>
      </c>
      <c r="C644" s="3" t="s">
        <v>225</v>
      </c>
      <c r="D644" s="3" t="s">
        <v>226</v>
      </c>
      <c r="E644" s="4" t="str">
        <f>HYPERLINK("#'业务数据类型'!A83","HsChar1000")</f>
        <v>HsChar1000</v>
      </c>
      <c r="F644" s="3" t="s">
        <v>70</v>
      </c>
      <c r="G644" s="6" t="s">
        <v>110</v>
      </c>
      <c r="H644" s="3" t="s">
        <v>9</v>
      </c>
    </row>
    <row r="645" ht="12.75" customHeight="1" spans="2:8">
      <c r="B645" s="5" t="s">
        <v>9</v>
      </c>
      <c r="C645" s="3" t="s">
        <v>125</v>
      </c>
      <c r="D645" s="3" t="s">
        <v>126</v>
      </c>
      <c r="E645" s="4" t="str">
        <f>HYPERLINK("#'业务数据类型'!A68","HsChar50")</f>
        <v>HsChar50</v>
      </c>
      <c r="F645" s="3" t="s">
        <v>70</v>
      </c>
      <c r="G645" s="6" t="s">
        <v>9</v>
      </c>
      <c r="H645" s="3" t="s">
        <v>9</v>
      </c>
    </row>
    <row r="646" ht="12.75" customHeight="1" spans="2:7">
      <c r="B646" s="5" t="s">
        <v>81</v>
      </c>
      <c r="C646" s="5" t="s">
        <v>82</v>
      </c>
      <c r="D646" s="5" t="s">
        <v>83</v>
      </c>
      <c r="E646" s="5" t="s">
        <v>84</v>
      </c>
      <c r="F646" s="5" t="s">
        <v>85</v>
      </c>
      <c r="G646" s="5" t="s">
        <v>86</v>
      </c>
    </row>
    <row r="647" ht="12.75" customHeight="1" spans="2:7">
      <c r="B647" s="5" t="s">
        <v>87</v>
      </c>
      <c r="C647" s="5" t="s">
        <v>88</v>
      </c>
      <c r="D647" s="5" t="s">
        <v>5</v>
      </c>
      <c r="E647" s="5" t="s">
        <v>89</v>
      </c>
      <c r="F647" s="5" t="s">
        <v>90</v>
      </c>
      <c r="G647" s="5" t="s">
        <v>91</v>
      </c>
    </row>
    <row r="648" ht="12.75" customHeight="1" spans="2:7">
      <c r="B648" s="5" t="s">
        <v>9</v>
      </c>
      <c r="C648" s="3" t="s">
        <v>403</v>
      </c>
      <c r="D648" s="3" t="s">
        <v>93</v>
      </c>
      <c r="E648" s="3" t="s">
        <v>401</v>
      </c>
      <c r="F648" s="3" t="s">
        <v>9</v>
      </c>
      <c r="G648" s="3" t="s">
        <v>9</v>
      </c>
    </row>
    <row r="649" ht="12.75" customHeight="1" spans="2:7">
      <c r="B649" s="5" t="s">
        <v>94</v>
      </c>
      <c r="C649" s="6" t="s">
        <v>9</v>
      </c>
      <c r="D649" s="6" t="s">
        <v>9</v>
      </c>
      <c r="E649" s="6" t="s">
        <v>9</v>
      </c>
      <c r="F649" s="6" t="s">
        <v>9</v>
      </c>
      <c r="G649" s="6" t="s">
        <v>9</v>
      </c>
    </row>
    <row r="652" ht="12.75" customHeight="1" spans="2:7">
      <c r="B652" s="5" t="s">
        <v>2</v>
      </c>
      <c r="C652" s="3" t="s">
        <v>9</v>
      </c>
      <c r="D652" s="3" t="s">
        <v>9</v>
      </c>
      <c r="E652" s="3" t="s">
        <v>9</v>
      </c>
      <c r="F652" s="5" t="s">
        <v>37</v>
      </c>
      <c r="G652" s="3" t="s">
        <v>9</v>
      </c>
    </row>
    <row r="653" ht="12.75" customHeight="1" spans="2:7">
      <c r="B653" s="5" t="s">
        <v>38</v>
      </c>
      <c r="C653" s="3" t="s">
        <v>404</v>
      </c>
      <c r="D653" s="5" t="s">
        <v>40</v>
      </c>
      <c r="E653" s="3" t="s">
        <v>41</v>
      </c>
      <c r="F653" s="5" t="s">
        <v>42</v>
      </c>
      <c r="G653" s="3" t="s">
        <v>9</v>
      </c>
    </row>
    <row r="654" ht="12.75" customHeight="1" spans="2:7">
      <c r="B654" s="5" t="s">
        <v>43</v>
      </c>
      <c r="C654" s="3" t="s">
        <v>34</v>
      </c>
      <c r="D654" s="5" t="s">
        <v>44</v>
      </c>
      <c r="E654" s="3" t="s">
        <v>45</v>
      </c>
      <c r="F654" s="5" t="s">
        <v>9</v>
      </c>
      <c r="G654" s="3" t="s">
        <v>9</v>
      </c>
    </row>
    <row r="655" ht="12.75" customHeight="1" spans="2:7">
      <c r="B655" s="5" t="s">
        <v>46</v>
      </c>
      <c r="C655" s="3" t="s">
        <v>9</v>
      </c>
      <c r="D655" s="5" t="s">
        <v>47</v>
      </c>
      <c r="E655" s="3" t="s">
        <v>9</v>
      </c>
      <c r="F655" s="5" t="s">
        <v>48</v>
      </c>
      <c r="G655" s="3" t="s">
        <v>9</v>
      </c>
    </row>
    <row r="656" ht="12.75" customHeight="1" spans="2:7">
      <c r="B656" s="5" t="s">
        <v>49</v>
      </c>
      <c r="C656" s="3" t="s">
        <v>45</v>
      </c>
      <c r="D656" s="5" t="s">
        <v>50</v>
      </c>
      <c r="E656" s="3" t="s">
        <v>45</v>
      </c>
      <c r="F656" s="5" t="s">
        <v>51</v>
      </c>
      <c r="G656" s="3" t="s">
        <v>45</v>
      </c>
    </row>
    <row r="657" ht="12.75" customHeight="1" spans="2:7">
      <c r="B657" s="5" t="s">
        <v>52</v>
      </c>
      <c r="C657" s="3" t="s">
        <v>9</v>
      </c>
      <c r="D657" s="5" t="s">
        <v>53</v>
      </c>
      <c r="E657" s="3" t="s">
        <v>9</v>
      </c>
      <c r="F657" s="5" t="s">
        <v>54</v>
      </c>
      <c r="G657" s="3" t="s">
        <v>9</v>
      </c>
    </row>
    <row r="658" ht="12.75" customHeight="1" spans="2:7">
      <c r="B658" s="5" t="s">
        <v>55</v>
      </c>
      <c r="C658" s="3" t="s">
        <v>9</v>
      </c>
      <c r="D658" s="5" t="s">
        <v>56</v>
      </c>
      <c r="E658" s="3" t="s">
        <v>9</v>
      </c>
      <c r="F658" s="5" t="s">
        <v>57</v>
      </c>
      <c r="G658" s="3" t="s">
        <v>9</v>
      </c>
    </row>
    <row r="659" ht="12.75" customHeight="1" spans="2:7">
      <c r="B659" s="5" t="s">
        <v>58</v>
      </c>
      <c r="C659" s="3" t="s">
        <v>9</v>
      </c>
      <c r="D659" s="5" t="s">
        <v>59</v>
      </c>
      <c r="E659" s="3" t="s">
        <v>9</v>
      </c>
      <c r="F659" s="5" t="s">
        <v>9</v>
      </c>
      <c r="G659" s="3" t="s">
        <v>9</v>
      </c>
    </row>
    <row r="660" ht="12.75" customHeight="1" spans="2:7">
      <c r="B660" s="5" t="s">
        <v>6</v>
      </c>
      <c r="C660" s="3" t="s">
        <v>9</v>
      </c>
      <c r="D660" s="3" t="s">
        <v>9</v>
      </c>
      <c r="E660" s="3" t="s">
        <v>9</v>
      </c>
      <c r="F660" s="3" t="s">
        <v>9</v>
      </c>
      <c r="G660" s="3" t="s">
        <v>9</v>
      </c>
    </row>
    <row r="661" ht="12.75" customHeight="1" spans="2:7">
      <c r="B661" s="5" t="s">
        <v>9</v>
      </c>
      <c r="C661" s="3" t="s">
        <v>9</v>
      </c>
      <c r="D661" s="3" t="s">
        <v>9</v>
      </c>
      <c r="E661" s="3" t="s">
        <v>9</v>
      </c>
      <c r="F661" s="3" t="s">
        <v>9</v>
      </c>
      <c r="G661" s="3" t="s">
        <v>9</v>
      </c>
    </row>
    <row r="662" ht="12.75" customHeight="1" spans="2:8">
      <c r="B662" s="5" t="s">
        <v>60</v>
      </c>
      <c r="C662" s="5" t="s">
        <v>61</v>
      </c>
      <c r="D662" s="5" t="s">
        <v>43</v>
      </c>
      <c r="E662" s="5" t="s">
        <v>62</v>
      </c>
      <c r="F662" s="5" t="s">
        <v>63</v>
      </c>
      <c r="G662" s="5" t="s">
        <v>64</v>
      </c>
      <c r="H662" s="5" t="s">
        <v>65</v>
      </c>
    </row>
    <row r="663" ht="12.75" customHeight="1" spans="2:8">
      <c r="B663" s="5" t="s">
        <v>9</v>
      </c>
      <c r="C663" s="3" t="s">
        <v>73</v>
      </c>
      <c r="D663" s="3" t="s">
        <v>74</v>
      </c>
      <c r="E663" s="4" t="str">
        <f>HYPERLINK("#'业务数据类型'!A40","HsChar10")</f>
        <v>HsChar10</v>
      </c>
      <c r="F663" s="3" t="s">
        <v>45</v>
      </c>
      <c r="G663" s="6" t="s">
        <v>9</v>
      </c>
      <c r="H663" s="3" t="s">
        <v>9</v>
      </c>
    </row>
    <row r="664" ht="12.75" customHeight="1" spans="2:8">
      <c r="B664" s="5" t="s">
        <v>9</v>
      </c>
      <c r="C664" s="3" t="s">
        <v>405</v>
      </c>
      <c r="D664" s="3" t="s">
        <v>406</v>
      </c>
      <c r="E664" s="4" t="str">
        <f>HYPERLINK("#'业务数据类型'!A68","HsChar50")</f>
        <v>HsChar50</v>
      </c>
      <c r="F664" s="3" t="s">
        <v>70</v>
      </c>
      <c r="G664" s="6" t="s">
        <v>9</v>
      </c>
      <c r="H664" s="3" t="s">
        <v>9</v>
      </c>
    </row>
    <row r="665" ht="12.75" customHeight="1" spans="2:8">
      <c r="B665" s="5" t="s">
        <v>9</v>
      </c>
      <c r="C665" s="3" t="s">
        <v>75</v>
      </c>
      <c r="D665" s="3" t="s">
        <v>76</v>
      </c>
      <c r="E665" s="4" t="str">
        <f>HYPERLINK("#'业务数据类型'!A68","HsChar50")</f>
        <v>HsChar50</v>
      </c>
      <c r="F665" s="3" t="s">
        <v>70</v>
      </c>
      <c r="G665" s="6" t="s">
        <v>9</v>
      </c>
      <c r="H665" s="3" t="s">
        <v>9</v>
      </c>
    </row>
    <row r="666" ht="12.75" customHeight="1" spans="2:8">
      <c r="B666" s="5" t="s">
        <v>9</v>
      </c>
      <c r="C666" s="3" t="s">
        <v>77</v>
      </c>
      <c r="D666" s="3" t="s">
        <v>78</v>
      </c>
      <c r="E666" s="4" t="str">
        <f>HYPERLINK("#'业务数据类型'!A68","HsChar50")</f>
        <v>HsChar50</v>
      </c>
      <c r="F666" s="3" t="s">
        <v>70</v>
      </c>
      <c r="G666" s="6" t="s">
        <v>9</v>
      </c>
      <c r="H666" s="3" t="s">
        <v>9</v>
      </c>
    </row>
    <row r="667" ht="12.75" customHeight="1" spans="2:8">
      <c r="B667" s="5" t="s">
        <v>9</v>
      </c>
      <c r="C667" s="3" t="s">
        <v>79</v>
      </c>
      <c r="D667" s="3" t="s">
        <v>80</v>
      </c>
      <c r="E667" s="4" t="str">
        <f>HYPERLINK("#'业务数据类型'!A68","HsChar50")</f>
        <v>HsChar50</v>
      </c>
      <c r="F667" s="3" t="s">
        <v>70</v>
      </c>
      <c r="G667" s="6" t="s">
        <v>9</v>
      </c>
      <c r="H667" s="3" t="s">
        <v>9</v>
      </c>
    </row>
    <row r="668" ht="12.75" customHeight="1" spans="2:7">
      <c r="B668" s="5" t="s">
        <v>81</v>
      </c>
      <c r="C668" s="5" t="s">
        <v>82</v>
      </c>
      <c r="D668" s="5" t="s">
        <v>83</v>
      </c>
      <c r="E668" s="5" t="s">
        <v>84</v>
      </c>
      <c r="F668" s="5" t="s">
        <v>85</v>
      </c>
      <c r="G668" s="5" t="s">
        <v>86</v>
      </c>
    </row>
    <row r="669" ht="12.75" customHeight="1" spans="2:7">
      <c r="B669" s="5" t="s">
        <v>87</v>
      </c>
      <c r="C669" s="5" t="s">
        <v>88</v>
      </c>
      <c r="D669" s="5" t="s">
        <v>5</v>
      </c>
      <c r="E669" s="5" t="s">
        <v>89</v>
      </c>
      <c r="F669" s="5" t="s">
        <v>90</v>
      </c>
      <c r="G669" s="5" t="s">
        <v>91</v>
      </c>
    </row>
    <row r="670" ht="12.75" customHeight="1" spans="2:7">
      <c r="B670" s="5" t="s">
        <v>9</v>
      </c>
      <c r="C670" s="3" t="s">
        <v>407</v>
      </c>
      <c r="D670" s="3" t="s">
        <v>93</v>
      </c>
      <c r="E670" s="3" t="s">
        <v>73</v>
      </c>
      <c r="F670" s="3" t="s">
        <v>9</v>
      </c>
      <c r="G670" s="3" t="s">
        <v>9</v>
      </c>
    </row>
    <row r="671" ht="12.75" customHeight="1" spans="2:7">
      <c r="B671" s="5" t="s">
        <v>94</v>
      </c>
      <c r="C671" s="6" t="s">
        <v>9</v>
      </c>
      <c r="D671" s="6" t="s">
        <v>9</v>
      </c>
      <c r="E671" s="6" t="s">
        <v>9</v>
      </c>
      <c r="F671" s="6" t="s">
        <v>9</v>
      </c>
      <c r="G671" s="6" t="s">
        <v>9</v>
      </c>
    </row>
    <row r="674" ht="12.75" customHeight="1" spans="2:7">
      <c r="B674" s="5" t="s">
        <v>2</v>
      </c>
      <c r="C674" s="3" t="s">
        <v>9</v>
      </c>
      <c r="D674" s="3" t="s">
        <v>9</v>
      </c>
      <c r="E674" s="3" t="s">
        <v>9</v>
      </c>
      <c r="F674" s="5" t="s">
        <v>37</v>
      </c>
      <c r="G674" s="3" t="s">
        <v>9</v>
      </c>
    </row>
    <row r="675" ht="12.75" customHeight="1" spans="2:7">
      <c r="B675" s="5" t="s">
        <v>38</v>
      </c>
      <c r="C675" s="3" t="s">
        <v>408</v>
      </c>
      <c r="D675" s="5" t="s">
        <v>40</v>
      </c>
      <c r="E675" s="3" t="s">
        <v>41</v>
      </c>
      <c r="F675" s="5" t="s">
        <v>42</v>
      </c>
      <c r="G675" s="3" t="s">
        <v>9</v>
      </c>
    </row>
    <row r="676" ht="12.75" customHeight="1" spans="2:7">
      <c r="B676" s="5" t="s">
        <v>43</v>
      </c>
      <c r="C676" s="3" t="s">
        <v>35</v>
      </c>
      <c r="D676" s="5" t="s">
        <v>44</v>
      </c>
      <c r="E676" s="3" t="s">
        <v>45</v>
      </c>
      <c r="F676" s="5" t="s">
        <v>9</v>
      </c>
      <c r="G676" s="3" t="s">
        <v>9</v>
      </c>
    </row>
    <row r="677" ht="12.75" customHeight="1" spans="2:7">
      <c r="B677" s="5" t="s">
        <v>46</v>
      </c>
      <c r="C677" s="3" t="s">
        <v>9</v>
      </c>
      <c r="D677" s="5" t="s">
        <v>47</v>
      </c>
      <c r="E677" s="3" t="s">
        <v>9</v>
      </c>
      <c r="F677" s="5" t="s">
        <v>48</v>
      </c>
      <c r="G677" s="3" t="s">
        <v>9</v>
      </c>
    </row>
    <row r="678" ht="12.75" customHeight="1" spans="2:7">
      <c r="B678" s="5" t="s">
        <v>49</v>
      </c>
      <c r="C678" s="3" t="s">
        <v>45</v>
      </c>
      <c r="D678" s="5" t="s">
        <v>50</v>
      </c>
      <c r="E678" s="3" t="s">
        <v>45</v>
      </c>
      <c r="F678" s="5" t="s">
        <v>51</v>
      </c>
      <c r="G678" s="3" t="s">
        <v>45</v>
      </c>
    </row>
    <row r="679" ht="12.75" customHeight="1" spans="2:7">
      <c r="B679" s="5" t="s">
        <v>52</v>
      </c>
      <c r="C679" s="3" t="s">
        <v>9</v>
      </c>
      <c r="D679" s="5" t="s">
        <v>53</v>
      </c>
      <c r="E679" s="3" t="s">
        <v>9</v>
      </c>
      <c r="F679" s="5" t="s">
        <v>54</v>
      </c>
      <c r="G679" s="3" t="s">
        <v>9</v>
      </c>
    </row>
    <row r="680" ht="12.75" customHeight="1" spans="2:7">
      <c r="B680" s="5" t="s">
        <v>55</v>
      </c>
      <c r="C680" s="3" t="s">
        <v>9</v>
      </c>
      <c r="D680" s="5" t="s">
        <v>56</v>
      </c>
      <c r="E680" s="3" t="s">
        <v>9</v>
      </c>
      <c r="F680" s="5" t="s">
        <v>57</v>
      </c>
      <c r="G680" s="3" t="s">
        <v>9</v>
      </c>
    </row>
    <row r="681" ht="12.75" customHeight="1" spans="2:7">
      <c r="B681" s="5" t="s">
        <v>58</v>
      </c>
      <c r="C681" s="3" t="s">
        <v>9</v>
      </c>
      <c r="D681" s="5" t="s">
        <v>59</v>
      </c>
      <c r="E681" s="3" t="s">
        <v>9</v>
      </c>
      <c r="F681" s="5" t="s">
        <v>9</v>
      </c>
      <c r="G681" s="3" t="s">
        <v>9</v>
      </c>
    </row>
    <row r="682" ht="12.75" customHeight="1" spans="2:7">
      <c r="B682" s="5" t="s">
        <v>6</v>
      </c>
      <c r="C682" s="3" t="s">
        <v>9</v>
      </c>
      <c r="D682" s="3" t="s">
        <v>9</v>
      </c>
      <c r="E682" s="3" t="s">
        <v>9</v>
      </c>
      <c r="F682" s="3" t="s">
        <v>9</v>
      </c>
      <c r="G682" s="3" t="s">
        <v>9</v>
      </c>
    </row>
    <row r="683" ht="12.75" customHeight="1" spans="2:7">
      <c r="B683" s="5" t="s">
        <v>9</v>
      </c>
      <c r="C683" s="3" t="s">
        <v>9</v>
      </c>
      <c r="D683" s="3" t="s">
        <v>9</v>
      </c>
      <c r="E683" s="3" t="s">
        <v>9</v>
      </c>
      <c r="F683" s="3" t="s">
        <v>9</v>
      </c>
      <c r="G683" s="3" t="s">
        <v>9</v>
      </c>
    </row>
    <row r="684" ht="12.75" customHeight="1" spans="2:8">
      <c r="B684" s="5" t="s">
        <v>60</v>
      </c>
      <c r="C684" s="5" t="s">
        <v>61</v>
      </c>
      <c r="D684" s="5" t="s">
        <v>43</v>
      </c>
      <c r="E684" s="5" t="s">
        <v>62</v>
      </c>
      <c r="F684" s="5" t="s">
        <v>63</v>
      </c>
      <c r="G684" s="5" t="s">
        <v>64</v>
      </c>
      <c r="H684" s="5" t="s">
        <v>65</v>
      </c>
    </row>
    <row r="685" ht="12.75" customHeight="1" spans="2:8">
      <c r="B685" s="5" t="s">
        <v>9</v>
      </c>
      <c r="C685" s="3" t="s">
        <v>409</v>
      </c>
      <c r="D685" s="3" t="s">
        <v>410</v>
      </c>
      <c r="E685" s="4" t="str">
        <f>HYPERLINK("#'业务数据类型'!A68","HsChar50")</f>
        <v>HsChar50</v>
      </c>
      <c r="F685" s="3" t="s">
        <v>45</v>
      </c>
      <c r="G685" s="6" t="s">
        <v>9</v>
      </c>
      <c r="H685" s="3" t="s">
        <v>9</v>
      </c>
    </row>
    <row r="686" ht="12.75" customHeight="1" spans="2:8">
      <c r="B686" s="5" t="s">
        <v>9</v>
      </c>
      <c r="C686" s="3" t="s">
        <v>177</v>
      </c>
      <c r="D686" s="3" t="s">
        <v>178</v>
      </c>
      <c r="E686" s="4" t="str">
        <f>HYPERLINK("#'业务数据类型'!A68","HsChar50")</f>
        <v>HsChar50</v>
      </c>
      <c r="F686" s="3" t="s">
        <v>70</v>
      </c>
      <c r="G686" s="6" t="s">
        <v>9</v>
      </c>
      <c r="H686" s="3" t="s">
        <v>9</v>
      </c>
    </row>
    <row r="687" ht="12.75" customHeight="1" spans="2:8">
      <c r="B687" s="5" t="s">
        <v>9</v>
      </c>
      <c r="C687" s="3" t="s">
        <v>96</v>
      </c>
      <c r="D687" s="3" t="s">
        <v>97</v>
      </c>
      <c r="E687" s="4" t="str">
        <f>HYPERLINK("#'业务数据类型'!A66","HsChar32")</f>
        <v>HsChar32</v>
      </c>
      <c r="F687" s="3" t="s">
        <v>70</v>
      </c>
      <c r="G687" s="6" t="s">
        <v>9</v>
      </c>
      <c r="H687" s="3" t="s">
        <v>9</v>
      </c>
    </row>
    <row r="688" ht="12.75" customHeight="1" spans="2:8">
      <c r="B688" s="5" t="s">
        <v>9</v>
      </c>
      <c r="C688" s="3" t="s">
        <v>140</v>
      </c>
      <c r="D688" s="3" t="s">
        <v>141</v>
      </c>
      <c r="E688" s="4" t="str">
        <f>HYPERLINK("#'业务数据类型'!A72","HsChar100")</f>
        <v>HsChar100</v>
      </c>
      <c r="F688" s="3" t="s">
        <v>70</v>
      </c>
      <c r="G688" s="6" t="s">
        <v>9</v>
      </c>
      <c r="H688" s="3" t="s">
        <v>9</v>
      </c>
    </row>
    <row r="689" ht="12.75" customHeight="1" spans="2:8">
      <c r="B689" s="5" t="s">
        <v>9</v>
      </c>
      <c r="C689" s="3" t="s">
        <v>183</v>
      </c>
      <c r="D689" s="3" t="s">
        <v>184</v>
      </c>
      <c r="E689" s="4" t="str">
        <f>HYPERLINK("#'业务数据类型'!A77","HsChar200")</f>
        <v>HsChar200</v>
      </c>
      <c r="F689" s="3" t="s">
        <v>70</v>
      </c>
      <c r="G689" s="6" t="s">
        <v>9</v>
      </c>
      <c r="H689" s="3" t="s">
        <v>9</v>
      </c>
    </row>
    <row r="690" ht="12.75" customHeight="1" spans="2:8">
      <c r="B690" s="5" t="s">
        <v>9</v>
      </c>
      <c r="C690" s="3" t="s">
        <v>185</v>
      </c>
      <c r="D690" s="3" t="s">
        <v>64</v>
      </c>
      <c r="E690" s="4" t="str">
        <f>HYPERLINK("#'业务数据类型'!A82","HsAbstract")</f>
        <v>HsAbstract</v>
      </c>
      <c r="F690" s="3" t="s">
        <v>70</v>
      </c>
      <c r="G690" s="6" t="s">
        <v>110</v>
      </c>
      <c r="H690" s="3" t="s">
        <v>9</v>
      </c>
    </row>
    <row r="691" ht="12.75" customHeight="1" spans="2:8">
      <c r="B691" s="5" t="s">
        <v>9</v>
      </c>
      <c r="C691" s="3" t="s">
        <v>186</v>
      </c>
      <c r="D691" s="3" t="s">
        <v>187</v>
      </c>
      <c r="E691" s="4" t="str">
        <f>HYPERLINK("#'业务数据类型'!A68","HsChar50")</f>
        <v>HsChar50</v>
      </c>
      <c r="F691" s="3" t="s">
        <v>70</v>
      </c>
      <c r="G691" s="6" t="s">
        <v>9</v>
      </c>
      <c r="H691" s="3" t="s">
        <v>9</v>
      </c>
    </row>
    <row r="692" ht="12.75" customHeight="1" spans="2:8">
      <c r="B692" s="5" t="s">
        <v>9</v>
      </c>
      <c r="C692" s="3" t="s">
        <v>188</v>
      </c>
      <c r="D692" s="3" t="s">
        <v>189</v>
      </c>
      <c r="E692" s="4" t="str">
        <f>HYPERLINK("#'业务数据类型'!A72","HsChar100")</f>
        <v>HsChar100</v>
      </c>
      <c r="F692" s="3" t="s">
        <v>70</v>
      </c>
      <c r="G692" s="6" t="s">
        <v>9</v>
      </c>
      <c r="H692" s="3" t="s">
        <v>9</v>
      </c>
    </row>
    <row r="693" ht="12.75" customHeight="1" spans="2:8">
      <c r="B693" s="5" t="s">
        <v>9</v>
      </c>
      <c r="C693" s="3" t="s">
        <v>190</v>
      </c>
      <c r="D693" s="3" t="s">
        <v>191</v>
      </c>
      <c r="E693" s="4" t="str">
        <f>HYPERLINK("#'业务数据类型'!A107","HsDateTime")</f>
        <v>HsDateTime</v>
      </c>
      <c r="F693" s="3" t="s">
        <v>70</v>
      </c>
      <c r="G693" s="6" t="s">
        <v>9</v>
      </c>
      <c r="H693" s="3" t="s">
        <v>9</v>
      </c>
    </row>
    <row r="694" ht="12.75" customHeight="1" spans="2:8">
      <c r="B694" s="5" t="s">
        <v>9</v>
      </c>
      <c r="C694" s="3" t="s">
        <v>192</v>
      </c>
      <c r="D694" s="3" t="s">
        <v>193</v>
      </c>
      <c r="E694" s="4" t="str">
        <f>HYPERLINK("#'业务数据类型'!A107","HsDateTime")</f>
        <v>HsDateTime</v>
      </c>
      <c r="F694" s="3" t="s">
        <v>70</v>
      </c>
      <c r="G694" s="6" t="s">
        <v>9</v>
      </c>
      <c r="H694" s="3" t="s">
        <v>9</v>
      </c>
    </row>
    <row r="695" ht="12.75" customHeight="1" spans="2:8">
      <c r="B695" s="5" t="s">
        <v>9</v>
      </c>
      <c r="C695" s="3" t="s">
        <v>194</v>
      </c>
      <c r="D695" s="3" t="s">
        <v>195</v>
      </c>
      <c r="E695" s="4" t="str">
        <f>HYPERLINK("#'业务数据类型'!A68","HsChar50")</f>
        <v>HsChar50</v>
      </c>
      <c r="F695" s="3" t="s">
        <v>70</v>
      </c>
      <c r="G695" s="6" t="s">
        <v>9</v>
      </c>
      <c r="H695" s="3" t="s">
        <v>9</v>
      </c>
    </row>
    <row r="696" ht="12.75" customHeight="1" spans="2:8">
      <c r="B696" s="5" t="s">
        <v>9</v>
      </c>
      <c r="C696" s="3" t="s">
        <v>411</v>
      </c>
      <c r="D696" s="3" t="s">
        <v>412</v>
      </c>
      <c r="E696" s="4" t="str">
        <f>HYPERLINK("#'业务数据类型'!A107","HsDateTime")</f>
        <v>HsDateTime</v>
      </c>
      <c r="F696" s="3" t="s">
        <v>70</v>
      </c>
      <c r="G696" s="6" t="s">
        <v>9</v>
      </c>
      <c r="H696" s="3" t="s">
        <v>9</v>
      </c>
    </row>
    <row r="697" ht="12.75" customHeight="1" spans="2:8">
      <c r="B697" s="5" t="s">
        <v>9</v>
      </c>
      <c r="C697" s="3" t="s">
        <v>198</v>
      </c>
      <c r="D697" s="3" t="s">
        <v>199</v>
      </c>
      <c r="E697" s="4" t="str">
        <f>HYPERLINK("#'业务数据类型'!A83","HsChar1000")</f>
        <v>HsChar1000</v>
      </c>
      <c r="F697" s="3" t="s">
        <v>70</v>
      </c>
      <c r="G697" s="6" t="s">
        <v>9</v>
      </c>
      <c r="H697" s="3" t="s">
        <v>9</v>
      </c>
    </row>
    <row r="698" ht="12.75" customHeight="1" spans="2:8">
      <c r="B698" s="5" t="s">
        <v>9</v>
      </c>
      <c r="C698" s="3" t="s">
        <v>200</v>
      </c>
      <c r="D698" s="3" t="s">
        <v>201</v>
      </c>
      <c r="E698" s="4" t="str">
        <f>HYPERLINK("#'业务数据类型'!A35","HsChar5")</f>
        <v>HsChar5</v>
      </c>
      <c r="F698" s="3" t="s">
        <v>70</v>
      </c>
      <c r="G698" s="6" t="s">
        <v>202</v>
      </c>
      <c r="H698" s="3" t="s">
        <v>9</v>
      </c>
    </row>
    <row r="699" ht="12.75" customHeight="1" spans="2:7">
      <c r="B699" s="5" t="s">
        <v>81</v>
      </c>
      <c r="C699" s="5" t="s">
        <v>82</v>
      </c>
      <c r="D699" s="5" t="s">
        <v>83</v>
      </c>
      <c r="E699" s="5" t="s">
        <v>84</v>
      </c>
      <c r="F699" s="5" t="s">
        <v>85</v>
      </c>
      <c r="G699" s="5" t="s">
        <v>86</v>
      </c>
    </row>
    <row r="700" ht="12.75" customHeight="1" spans="2:7">
      <c r="B700" s="5" t="s">
        <v>87</v>
      </c>
      <c r="C700" s="5" t="s">
        <v>88</v>
      </c>
      <c r="D700" s="5" t="s">
        <v>5</v>
      </c>
      <c r="E700" s="5" t="s">
        <v>89</v>
      </c>
      <c r="F700" s="5" t="s">
        <v>90</v>
      </c>
      <c r="G700" s="5" t="s">
        <v>91</v>
      </c>
    </row>
    <row r="701" ht="12.75" customHeight="1" spans="2:7">
      <c r="B701" s="5" t="s">
        <v>9</v>
      </c>
      <c r="C701" s="3" t="s">
        <v>413</v>
      </c>
      <c r="D701" s="3" t="s">
        <v>93</v>
      </c>
      <c r="E701" s="3" t="s">
        <v>409</v>
      </c>
      <c r="F701" s="3" t="s">
        <v>9</v>
      </c>
      <c r="G701" s="3" t="s">
        <v>9</v>
      </c>
    </row>
    <row r="702" ht="12.75" customHeight="1" spans="2:7">
      <c r="B702" s="5" t="s">
        <v>94</v>
      </c>
      <c r="C702" s="6" t="s">
        <v>9</v>
      </c>
      <c r="D702" s="6" t="s">
        <v>9</v>
      </c>
      <c r="E702" s="6" t="s">
        <v>9</v>
      </c>
      <c r="F702" s="6" t="s">
        <v>9</v>
      </c>
      <c r="G702" s="6" t="s">
        <v>9</v>
      </c>
    </row>
    <row r="705" ht="12.75" customHeight="1" spans="2:7">
      <c r="B705" s="5" t="s">
        <v>2</v>
      </c>
      <c r="C705" s="3" t="s">
        <v>9</v>
      </c>
      <c r="D705" s="3" t="s">
        <v>9</v>
      </c>
      <c r="E705" s="3" t="s">
        <v>9</v>
      </c>
      <c r="F705" s="5" t="s">
        <v>37</v>
      </c>
      <c r="G705" s="3" t="s">
        <v>9</v>
      </c>
    </row>
    <row r="706" ht="12.75" customHeight="1" spans="2:7">
      <c r="B706" s="5" t="s">
        <v>38</v>
      </c>
      <c r="C706" s="3" t="s">
        <v>414</v>
      </c>
      <c r="D706" s="5" t="s">
        <v>40</v>
      </c>
      <c r="E706" s="3" t="s">
        <v>41</v>
      </c>
      <c r="F706" s="5" t="s">
        <v>42</v>
      </c>
      <c r="G706" s="3" t="s">
        <v>9</v>
      </c>
    </row>
    <row r="707" ht="12.75" customHeight="1" spans="2:7">
      <c r="B707" s="5" t="s">
        <v>43</v>
      </c>
      <c r="C707" s="3" t="s">
        <v>36</v>
      </c>
      <c r="D707" s="5" t="s">
        <v>44</v>
      </c>
      <c r="E707" s="3" t="s">
        <v>45</v>
      </c>
      <c r="F707" s="5" t="s">
        <v>9</v>
      </c>
      <c r="G707" s="3" t="s">
        <v>9</v>
      </c>
    </row>
    <row r="708" ht="12.75" customHeight="1" spans="2:7">
      <c r="B708" s="5" t="s">
        <v>46</v>
      </c>
      <c r="C708" s="3" t="s">
        <v>9</v>
      </c>
      <c r="D708" s="5" t="s">
        <v>47</v>
      </c>
      <c r="E708" s="3" t="s">
        <v>9</v>
      </c>
      <c r="F708" s="5" t="s">
        <v>48</v>
      </c>
      <c r="G708" s="3" t="s">
        <v>9</v>
      </c>
    </row>
    <row r="709" ht="12.75" customHeight="1" spans="2:7">
      <c r="B709" s="5" t="s">
        <v>49</v>
      </c>
      <c r="C709" s="3" t="s">
        <v>45</v>
      </c>
      <c r="D709" s="5" t="s">
        <v>50</v>
      </c>
      <c r="E709" s="3" t="s">
        <v>45</v>
      </c>
      <c r="F709" s="5" t="s">
        <v>51</v>
      </c>
      <c r="G709" s="3" t="s">
        <v>45</v>
      </c>
    </row>
    <row r="710" ht="12.75" customHeight="1" spans="2:7">
      <c r="B710" s="5" t="s">
        <v>52</v>
      </c>
      <c r="C710" s="3" t="s">
        <v>9</v>
      </c>
      <c r="D710" s="5" t="s">
        <v>53</v>
      </c>
      <c r="E710" s="3" t="s">
        <v>9</v>
      </c>
      <c r="F710" s="5" t="s">
        <v>54</v>
      </c>
      <c r="G710" s="3" t="s">
        <v>9</v>
      </c>
    </row>
    <row r="711" ht="12.75" customHeight="1" spans="2:7">
      <c r="B711" s="5" t="s">
        <v>55</v>
      </c>
      <c r="C711" s="3" t="s">
        <v>9</v>
      </c>
      <c r="D711" s="5" t="s">
        <v>56</v>
      </c>
      <c r="E711" s="3" t="s">
        <v>9</v>
      </c>
      <c r="F711" s="5" t="s">
        <v>57</v>
      </c>
      <c r="G711" s="3" t="s">
        <v>9</v>
      </c>
    </row>
    <row r="712" ht="12.75" customHeight="1" spans="2:7">
      <c r="B712" s="5" t="s">
        <v>58</v>
      </c>
      <c r="C712" s="3" t="s">
        <v>9</v>
      </c>
      <c r="D712" s="5" t="s">
        <v>59</v>
      </c>
      <c r="E712" s="3" t="s">
        <v>9</v>
      </c>
      <c r="F712" s="5" t="s">
        <v>9</v>
      </c>
      <c r="G712" s="3" t="s">
        <v>9</v>
      </c>
    </row>
    <row r="713" ht="12.75" customHeight="1" spans="2:7">
      <c r="B713" s="5" t="s">
        <v>6</v>
      </c>
      <c r="C713" s="3" t="s">
        <v>9</v>
      </c>
      <c r="D713" s="3" t="s">
        <v>9</v>
      </c>
      <c r="E713" s="3" t="s">
        <v>9</v>
      </c>
      <c r="F713" s="3" t="s">
        <v>9</v>
      </c>
      <c r="G713" s="3" t="s">
        <v>9</v>
      </c>
    </row>
    <row r="714" ht="12.75" customHeight="1" spans="2:7">
      <c r="B714" s="5" t="s">
        <v>9</v>
      </c>
      <c r="C714" s="3" t="s">
        <v>9</v>
      </c>
      <c r="D714" s="3" t="s">
        <v>9</v>
      </c>
      <c r="E714" s="3" t="s">
        <v>9</v>
      </c>
      <c r="F714" s="3" t="s">
        <v>9</v>
      </c>
      <c r="G714" s="3" t="s">
        <v>9</v>
      </c>
    </row>
    <row r="715" ht="12.75" customHeight="1" spans="2:8">
      <c r="B715" s="5" t="s">
        <v>60</v>
      </c>
      <c r="C715" s="5" t="s">
        <v>61</v>
      </c>
      <c r="D715" s="5" t="s">
        <v>43</v>
      </c>
      <c r="E715" s="5" t="s">
        <v>62</v>
      </c>
      <c r="F715" s="5" t="s">
        <v>63</v>
      </c>
      <c r="G715" s="5" t="s">
        <v>64</v>
      </c>
      <c r="H715" s="5" t="s">
        <v>65</v>
      </c>
    </row>
    <row r="716" ht="12.75" customHeight="1" spans="2:8">
      <c r="B716" s="5" t="s">
        <v>9</v>
      </c>
      <c r="C716" s="3" t="s">
        <v>98</v>
      </c>
      <c r="D716" s="3" t="s">
        <v>99</v>
      </c>
      <c r="E716" s="4" t="str">
        <f>HYPERLINK("#'业务数据类型'!A66","HsChar32")</f>
        <v>HsChar32</v>
      </c>
      <c r="F716" s="3" t="s">
        <v>45</v>
      </c>
      <c r="G716" s="6" t="s">
        <v>9</v>
      </c>
      <c r="H716" s="3" t="s">
        <v>9</v>
      </c>
    </row>
    <row r="717" ht="12.75" customHeight="1" spans="2:8">
      <c r="B717" s="5" t="s">
        <v>9</v>
      </c>
      <c r="C717" s="3" t="s">
        <v>342</v>
      </c>
      <c r="D717" s="3" t="s">
        <v>343</v>
      </c>
      <c r="E717" s="4" t="str">
        <f>HYPERLINK("#'业务数据类型'!A72","HsChar100")</f>
        <v>HsChar100</v>
      </c>
      <c r="F717" s="3" t="s">
        <v>70</v>
      </c>
      <c r="G717" s="6" t="s">
        <v>9</v>
      </c>
      <c r="H717" s="3" t="s">
        <v>9</v>
      </c>
    </row>
    <row r="718" ht="12.75" customHeight="1" spans="2:8">
      <c r="B718" s="5" t="s">
        <v>9</v>
      </c>
      <c r="C718" s="3" t="s">
        <v>100</v>
      </c>
      <c r="D718" s="3" t="s">
        <v>101</v>
      </c>
      <c r="E718" s="4" t="str">
        <f>HYPERLINK("#'业务数据类型'!A72","HsChar100")</f>
        <v>HsChar100</v>
      </c>
      <c r="F718" s="3" t="s">
        <v>70</v>
      </c>
      <c r="G718" s="6" t="s">
        <v>9</v>
      </c>
      <c r="H718" s="3" t="s">
        <v>9</v>
      </c>
    </row>
    <row r="719" ht="12.75" customHeight="1" spans="2:8">
      <c r="B719" s="5" t="s">
        <v>9</v>
      </c>
      <c r="C719" s="3" t="s">
        <v>415</v>
      </c>
      <c r="D719" s="3" t="s">
        <v>416</v>
      </c>
      <c r="E719" s="4" t="str">
        <f>HYPERLINK("#'业务数据类型'!A8","HsType")</f>
        <v>HsType</v>
      </c>
      <c r="F719" s="3" t="s">
        <v>70</v>
      </c>
      <c r="G719" s="6" t="s">
        <v>9</v>
      </c>
      <c r="H719" s="3" t="s">
        <v>9</v>
      </c>
    </row>
    <row r="720" ht="12.75" customHeight="1" spans="2:8">
      <c r="B720" s="5" t="s">
        <v>9</v>
      </c>
      <c r="C720" s="3" t="s">
        <v>250</v>
      </c>
      <c r="D720" s="3" t="s">
        <v>251</v>
      </c>
      <c r="E720" s="4" t="str">
        <f>HYPERLINK("#'业务数据类型'!A72","HsChar100")</f>
        <v>HsChar100</v>
      </c>
      <c r="F720" s="3" t="s">
        <v>70</v>
      </c>
      <c r="G720" s="6" t="s">
        <v>252</v>
      </c>
      <c r="H720" s="3" t="s">
        <v>9</v>
      </c>
    </row>
    <row r="721" ht="12.75" customHeight="1" spans="2:8">
      <c r="B721" s="5" t="s">
        <v>9</v>
      </c>
      <c r="C721" s="3" t="s">
        <v>346</v>
      </c>
      <c r="D721" s="3" t="s">
        <v>347</v>
      </c>
      <c r="E721" s="4" t="str">
        <f>HYPERLINK("#'业务数据类型'!A68","HsChar50")</f>
        <v>HsChar50</v>
      </c>
      <c r="F721" s="3" t="s">
        <v>70</v>
      </c>
      <c r="G721" s="6" t="s">
        <v>9</v>
      </c>
      <c r="H721" s="3" t="s">
        <v>9</v>
      </c>
    </row>
    <row r="722" ht="12.75" customHeight="1" spans="2:8">
      <c r="B722" s="5" t="s">
        <v>9</v>
      </c>
      <c r="C722" s="3" t="s">
        <v>344</v>
      </c>
      <c r="D722" s="3" t="s">
        <v>345</v>
      </c>
      <c r="E722" s="4" t="str">
        <f>HYPERLINK("#'业务数据类型'!A77","HsChar200")</f>
        <v>HsChar200</v>
      </c>
      <c r="F722" s="3" t="s">
        <v>70</v>
      </c>
      <c r="G722" s="6" t="s">
        <v>9</v>
      </c>
      <c r="H722" s="3" t="s">
        <v>9</v>
      </c>
    </row>
    <row r="723" ht="12.75" customHeight="1" spans="2:8">
      <c r="B723" s="5" t="s">
        <v>9</v>
      </c>
      <c r="C723" s="3" t="s">
        <v>117</v>
      </c>
      <c r="D723" s="3" t="s">
        <v>118</v>
      </c>
      <c r="E723" s="4" t="str">
        <f>HYPERLINK("#'业务数据类型'!A68","HsChar50")</f>
        <v>HsChar50</v>
      </c>
      <c r="F723" s="3" t="s">
        <v>70</v>
      </c>
      <c r="G723" s="6" t="s">
        <v>9</v>
      </c>
      <c r="H723" s="3" t="s">
        <v>9</v>
      </c>
    </row>
    <row r="724" ht="12.75" customHeight="1" spans="2:8">
      <c r="B724" s="5" t="s">
        <v>9</v>
      </c>
      <c r="C724" s="3" t="s">
        <v>119</v>
      </c>
      <c r="D724" s="3" t="s">
        <v>120</v>
      </c>
      <c r="E724" s="4" t="str">
        <f>HYPERLINK("#'业务数据类型'!A107","HsDateTime")</f>
        <v>HsDateTime</v>
      </c>
      <c r="F724" s="3" t="s">
        <v>70</v>
      </c>
      <c r="G724" s="6" t="s">
        <v>9</v>
      </c>
      <c r="H724" s="3" t="s">
        <v>9</v>
      </c>
    </row>
    <row r="725" ht="12.75" customHeight="1" spans="2:8">
      <c r="B725" s="5" t="s">
        <v>9</v>
      </c>
      <c r="C725" s="3" t="s">
        <v>121</v>
      </c>
      <c r="D725" s="3" t="s">
        <v>122</v>
      </c>
      <c r="E725" s="4" t="str">
        <f>HYPERLINK("#'业务数据类型'!A68","HsChar50")</f>
        <v>HsChar50</v>
      </c>
      <c r="F725" s="3" t="s">
        <v>70</v>
      </c>
      <c r="G725" s="6" t="s">
        <v>9</v>
      </c>
      <c r="H725" s="3" t="s">
        <v>9</v>
      </c>
    </row>
    <row r="726" ht="12.75" customHeight="1" spans="2:8">
      <c r="B726" s="5" t="s">
        <v>9</v>
      </c>
      <c r="C726" s="3" t="s">
        <v>123</v>
      </c>
      <c r="D726" s="3" t="s">
        <v>124</v>
      </c>
      <c r="E726" s="4" t="str">
        <f>HYPERLINK("#'业务数据类型'!A107","HsDateTime")</f>
        <v>HsDateTime</v>
      </c>
      <c r="F726" s="3" t="s">
        <v>70</v>
      </c>
      <c r="G726" s="6" t="s">
        <v>9</v>
      </c>
      <c r="H726" s="3" t="s">
        <v>9</v>
      </c>
    </row>
    <row r="727" ht="12.75" customHeight="1" spans="2:8">
      <c r="B727" s="5" t="s">
        <v>9</v>
      </c>
      <c r="C727" s="3" t="s">
        <v>185</v>
      </c>
      <c r="D727" s="3" t="s">
        <v>64</v>
      </c>
      <c r="E727" s="4" t="str">
        <f>HYPERLINK("#'业务数据类型'!A82","HsAbstract")</f>
        <v>HsAbstract</v>
      </c>
      <c r="F727" s="3" t="s">
        <v>70</v>
      </c>
      <c r="G727" s="6" t="s">
        <v>110</v>
      </c>
      <c r="H727" s="3" t="s">
        <v>9</v>
      </c>
    </row>
    <row r="728" ht="12.75" customHeight="1" spans="2:8">
      <c r="B728" s="5" t="s">
        <v>9</v>
      </c>
      <c r="C728" s="3" t="s">
        <v>222</v>
      </c>
      <c r="D728" s="3" t="s">
        <v>223</v>
      </c>
      <c r="E728" s="4" t="str">
        <f>HYPERLINK("#'业务数据类型'!A83","HsChar1000")</f>
        <v>HsChar1000</v>
      </c>
      <c r="F728" s="3" t="s">
        <v>70</v>
      </c>
      <c r="G728" s="6" t="s">
        <v>224</v>
      </c>
      <c r="H728" s="3" t="s">
        <v>9</v>
      </c>
    </row>
    <row r="729" ht="12.75" customHeight="1" spans="2:8">
      <c r="B729" s="5" t="s">
        <v>9</v>
      </c>
      <c r="C729" s="3" t="s">
        <v>225</v>
      </c>
      <c r="D729" s="3" t="s">
        <v>226</v>
      </c>
      <c r="E729" s="4" t="str">
        <f>HYPERLINK("#'业务数据类型'!A83","HsChar1000")</f>
        <v>HsChar1000</v>
      </c>
      <c r="F729" s="3" t="s">
        <v>70</v>
      </c>
      <c r="G729" s="6" t="s">
        <v>110</v>
      </c>
      <c r="H729" s="3" t="s">
        <v>9</v>
      </c>
    </row>
    <row r="730" ht="12.75" customHeight="1" spans="2:7">
      <c r="B730" s="5" t="s">
        <v>81</v>
      </c>
      <c r="C730" s="5" t="s">
        <v>82</v>
      </c>
      <c r="D730" s="5" t="s">
        <v>83</v>
      </c>
      <c r="E730" s="5" t="s">
        <v>84</v>
      </c>
      <c r="F730" s="5" t="s">
        <v>85</v>
      </c>
      <c r="G730" s="5" t="s">
        <v>86</v>
      </c>
    </row>
    <row r="731" ht="12.75" customHeight="1" spans="2:7">
      <c r="B731" s="5" t="s">
        <v>87</v>
      </c>
      <c r="C731" s="5" t="s">
        <v>88</v>
      </c>
      <c r="D731" s="5" t="s">
        <v>5</v>
      </c>
      <c r="E731" s="5" t="s">
        <v>89</v>
      </c>
      <c r="F731" s="5" t="s">
        <v>90</v>
      </c>
      <c r="G731" s="5" t="s">
        <v>91</v>
      </c>
    </row>
    <row r="732" ht="12.75" customHeight="1" spans="2:7">
      <c r="B732" s="5" t="s">
        <v>9</v>
      </c>
      <c r="C732" s="3" t="s">
        <v>417</v>
      </c>
      <c r="D732" s="3" t="s">
        <v>93</v>
      </c>
      <c r="E732" s="3" t="s">
        <v>98</v>
      </c>
      <c r="F732" s="3" t="s">
        <v>9</v>
      </c>
      <c r="G732" s="3" t="s">
        <v>9</v>
      </c>
    </row>
    <row r="733" ht="12.75" customHeight="1" spans="2:7">
      <c r="B733" s="5" t="s">
        <v>94</v>
      </c>
      <c r="C733" s="6" t="s">
        <v>9</v>
      </c>
      <c r="D733" s="6" t="s">
        <v>9</v>
      </c>
      <c r="E733" s="6" t="s">
        <v>9</v>
      </c>
      <c r="F733" s="6" t="s">
        <v>9</v>
      </c>
      <c r="G733" s="6" t="s">
        <v>9</v>
      </c>
    </row>
  </sheetData>
  <mergeCells count="96">
    <mergeCell ref="C2:E2"/>
    <mergeCell ref="C23:G23"/>
    <mergeCell ref="C26:E26"/>
    <mergeCell ref="C54:G54"/>
    <mergeCell ref="C57:E57"/>
    <mergeCell ref="C77:G77"/>
    <mergeCell ref="C80:E80"/>
    <mergeCell ref="C106:G106"/>
    <mergeCell ref="C109:E109"/>
    <mergeCell ref="C132:G132"/>
    <mergeCell ref="C135:E135"/>
    <mergeCell ref="C155:G155"/>
    <mergeCell ref="C158:E158"/>
    <mergeCell ref="C178:G178"/>
    <mergeCell ref="C181:E181"/>
    <mergeCell ref="C213:G213"/>
    <mergeCell ref="C216:E216"/>
    <mergeCell ref="C240:G240"/>
    <mergeCell ref="C243:E243"/>
    <mergeCell ref="C263:G263"/>
    <mergeCell ref="C266:E266"/>
    <mergeCell ref="C297:G297"/>
    <mergeCell ref="C300:E300"/>
    <mergeCell ref="C319:G319"/>
    <mergeCell ref="C322:E322"/>
    <mergeCell ref="C342:G342"/>
    <mergeCell ref="C345:E345"/>
    <mergeCell ref="C373:G373"/>
    <mergeCell ref="C376:E376"/>
    <mergeCell ref="C402:G402"/>
    <mergeCell ref="C405:E405"/>
    <mergeCell ref="C436:G436"/>
    <mergeCell ref="C439:E439"/>
    <mergeCell ref="C482:G482"/>
    <mergeCell ref="C485:E485"/>
    <mergeCell ref="C525:G525"/>
    <mergeCell ref="C528:E528"/>
    <mergeCell ref="C575:G575"/>
    <mergeCell ref="C578:E578"/>
    <mergeCell ref="C615:G615"/>
    <mergeCell ref="C618:E618"/>
    <mergeCell ref="C649:G649"/>
    <mergeCell ref="C652:E652"/>
    <mergeCell ref="C671:G671"/>
    <mergeCell ref="C674:E674"/>
    <mergeCell ref="C702:G702"/>
    <mergeCell ref="C705:E705"/>
    <mergeCell ref="C733:G733"/>
    <mergeCell ref="B10:B11"/>
    <mergeCell ref="B34:B35"/>
    <mergeCell ref="B65:B66"/>
    <mergeCell ref="B88:B89"/>
    <mergeCell ref="B117:B118"/>
    <mergeCell ref="B143:B144"/>
    <mergeCell ref="B166:B167"/>
    <mergeCell ref="B189:B190"/>
    <mergeCell ref="B224:B225"/>
    <mergeCell ref="B251:B252"/>
    <mergeCell ref="B274:B275"/>
    <mergeCell ref="B308:B309"/>
    <mergeCell ref="B330:B331"/>
    <mergeCell ref="B353:B354"/>
    <mergeCell ref="B384:B385"/>
    <mergeCell ref="B413:B414"/>
    <mergeCell ref="B447:B448"/>
    <mergeCell ref="B493:B494"/>
    <mergeCell ref="B536:B537"/>
    <mergeCell ref="B586:B587"/>
    <mergeCell ref="B626:B627"/>
    <mergeCell ref="B660:B661"/>
    <mergeCell ref="B682:B683"/>
    <mergeCell ref="B713:B714"/>
    <mergeCell ref="C10:G11"/>
    <mergeCell ref="C34:G35"/>
    <mergeCell ref="C65:G66"/>
    <mergeCell ref="C88:G89"/>
    <mergeCell ref="C117:G118"/>
    <mergeCell ref="C143:G144"/>
    <mergeCell ref="C166:G167"/>
    <mergeCell ref="C189:G190"/>
    <mergeCell ref="C224:G225"/>
    <mergeCell ref="C251:G252"/>
    <mergeCell ref="C274:G275"/>
    <mergeCell ref="C308:G309"/>
    <mergeCell ref="C330:G331"/>
    <mergeCell ref="C353:G354"/>
    <mergeCell ref="C384:G385"/>
    <mergeCell ref="C413:G414"/>
    <mergeCell ref="C447:G448"/>
    <mergeCell ref="C493:G494"/>
    <mergeCell ref="C536:G537"/>
    <mergeCell ref="C586:G587"/>
    <mergeCell ref="C626:G627"/>
    <mergeCell ref="C713:G714"/>
    <mergeCell ref="C660:G661"/>
    <mergeCell ref="C682:G683"/>
  </mergeCells>
  <pageMargins left="0.75" right="0.75" top="1" bottom="1" header="0.5" footer="0.5"/>
  <pageSetup paperSize="1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8.88888888888889" defaultRowHeight="13.2" outlineLevelRow="1" outlineLevelCol="5"/>
  <cols>
    <col min="1" max="1" width="39" style="1" customWidth="1"/>
    <col min="2" max="6" width="19.5740740740741" style="1" customWidth="1"/>
    <col min="7" max="15" width="8.85185185185185" style="1" customWidth="1"/>
  </cols>
  <sheetData>
    <row r="1" ht="12.75" customHeight="1" spans="1:6">
      <c r="A1" s="2" t="s">
        <v>418</v>
      </c>
      <c r="B1" s="2" t="s">
        <v>419</v>
      </c>
      <c r="C1" s="2" t="s">
        <v>40</v>
      </c>
      <c r="D1" s="2" t="s">
        <v>420</v>
      </c>
      <c r="E1" s="2" t="s">
        <v>47</v>
      </c>
      <c r="F1" s="2" t="s">
        <v>421</v>
      </c>
    </row>
    <row r="2" ht="12.75" customHeight="1" spans="1:6">
      <c r="A2" s="3" t="s">
        <v>422</v>
      </c>
      <c r="B2" s="3" t="s">
        <v>9</v>
      </c>
      <c r="C2" s="3" t="s">
        <v>423</v>
      </c>
      <c r="D2" s="3" t="s">
        <v>9</v>
      </c>
      <c r="E2" s="3" t="s">
        <v>9</v>
      </c>
      <c r="F2" s="3" t="s">
        <v>9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1"/>
  <sheetViews>
    <sheetView workbookViewId="0">
      <selection activeCell="A1" sqref="A1"/>
    </sheetView>
  </sheetViews>
  <sheetFormatPr defaultColWidth="8.88888888888889" defaultRowHeight="13.2"/>
  <cols>
    <col min="1" max="1" width="8.85185185185185" style="1" customWidth="1"/>
    <col min="2" max="13" width="11.712962962963" style="1" customWidth="1"/>
    <col min="14" max="15" width="8.85185185185185" style="1" customWidth="1"/>
  </cols>
  <sheetData>
    <row r="2" ht="12.75" customHeight="1" spans="2:13">
      <c r="B2" s="2" t="s">
        <v>424</v>
      </c>
      <c r="C2" s="2" t="s">
        <v>88</v>
      </c>
      <c r="D2" s="2" t="s">
        <v>425</v>
      </c>
      <c r="E2" s="2" t="s">
        <v>426</v>
      </c>
      <c r="F2" s="2" t="s">
        <v>427</v>
      </c>
      <c r="G2" s="2" t="s">
        <v>428</v>
      </c>
      <c r="H2" s="2" t="s">
        <v>429</v>
      </c>
      <c r="I2" s="2" t="s">
        <v>430</v>
      </c>
      <c r="J2" s="2" t="s">
        <v>431</v>
      </c>
      <c r="K2" s="2" t="s">
        <v>432</v>
      </c>
      <c r="L2" s="2" t="s">
        <v>433</v>
      </c>
      <c r="M2" s="2" t="s">
        <v>6</v>
      </c>
    </row>
    <row r="3" ht="12.75" customHeight="1" spans="2:13">
      <c r="B3" s="3" t="s">
        <v>434</v>
      </c>
      <c r="C3" s="3" t="s">
        <v>9</v>
      </c>
      <c r="D3" s="3" t="s">
        <v>435</v>
      </c>
      <c r="E3" s="3" t="s">
        <v>436</v>
      </c>
      <c r="F3" s="3" t="s">
        <v>9</v>
      </c>
      <c r="G3" s="3" t="s">
        <v>437</v>
      </c>
      <c r="H3" s="3" t="s">
        <v>437</v>
      </c>
      <c r="I3" s="3" t="s">
        <v>9</v>
      </c>
      <c r="J3" s="3" t="s">
        <v>9</v>
      </c>
      <c r="K3" s="3" t="s">
        <v>9</v>
      </c>
      <c r="L3" s="3" t="s">
        <v>437</v>
      </c>
      <c r="M3" s="3" t="s">
        <v>9</v>
      </c>
    </row>
    <row r="4" ht="12.75" customHeight="1" spans="2:13">
      <c r="B4" s="3" t="s">
        <v>438</v>
      </c>
      <c r="C4" s="3" t="s">
        <v>9</v>
      </c>
      <c r="D4" s="3" t="s">
        <v>439</v>
      </c>
      <c r="E4" s="3" t="s">
        <v>436</v>
      </c>
      <c r="F4" s="3" t="s">
        <v>9</v>
      </c>
      <c r="G4" s="3" t="s">
        <v>437</v>
      </c>
      <c r="H4" s="3" t="s">
        <v>437</v>
      </c>
      <c r="I4" s="3" t="s">
        <v>9</v>
      </c>
      <c r="J4" s="3" t="s">
        <v>9</v>
      </c>
      <c r="K4" s="3" t="s">
        <v>9</v>
      </c>
      <c r="L4" s="3" t="s">
        <v>437</v>
      </c>
      <c r="M4" s="3" t="s">
        <v>9</v>
      </c>
    </row>
    <row r="5" ht="12.75" customHeight="1" spans="2:13">
      <c r="B5" s="3" t="s">
        <v>440</v>
      </c>
      <c r="C5" s="3" t="s">
        <v>9</v>
      </c>
      <c r="D5" s="3" t="s">
        <v>441</v>
      </c>
      <c r="E5" s="3" t="s">
        <v>442</v>
      </c>
      <c r="F5" s="3" t="s">
        <v>9</v>
      </c>
      <c r="G5" s="3" t="s">
        <v>442</v>
      </c>
      <c r="H5" s="3" t="s">
        <v>442</v>
      </c>
      <c r="I5" s="3" t="s">
        <v>9</v>
      </c>
      <c r="J5" s="3" t="s">
        <v>9</v>
      </c>
      <c r="K5" s="3" t="s">
        <v>9</v>
      </c>
      <c r="L5" s="3" t="s">
        <v>442</v>
      </c>
      <c r="M5" s="3" t="s">
        <v>9</v>
      </c>
    </row>
    <row r="6" ht="12.75" customHeight="1" spans="2:13">
      <c r="B6" s="3" t="s">
        <v>443</v>
      </c>
      <c r="C6" s="3" t="s">
        <v>9</v>
      </c>
      <c r="D6" s="3" t="s">
        <v>444</v>
      </c>
      <c r="E6" s="3" t="s">
        <v>445</v>
      </c>
      <c r="F6" s="3" t="s">
        <v>9</v>
      </c>
      <c r="G6" s="3" t="s">
        <v>446</v>
      </c>
      <c r="H6" s="3" t="s">
        <v>446</v>
      </c>
      <c r="I6" s="3" t="s">
        <v>9</v>
      </c>
      <c r="J6" s="3" t="s">
        <v>9</v>
      </c>
      <c r="K6" s="3" t="s">
        <v>9</v>
      </c>
      <c r="L6" s="3" t="s">
        <v>446</v>
      </c>
      <c r="M6" s="3" t="s">
        <v>9</v>
      </c>
    </row>
    <row r="7" ht="12.75" customHeight="1" spans="2:13">
      <c r="B7" s="3" t="s">
        <v>447</v>
      </c>
      <c r="C7" s="3" t="s">
        <v>9</v>
      </c>
      <c r="D7" s="3" t="s">
        <v>448</v>
      </c>
      <c r="E7" s="3" t="s">
        <v>449</v>
      </c>
      <c r="F7" s="3" t="s">
        <v>9</v>
      </c>
      <c r="G7" s="3" t="s">
        <v>450</v>
      </c>
      <c r="H7" s="3" t="s">
        <v>450</v>
      </c>
      <c r="I7" s="3" t="s">
        <v>9</v>
      </c>
      <c r="J7" s="3" t="s">
        <v>9</v>
      </c>
      <c r="K7" s="3" t="s">
        <v>9</v>
      </c>
      <c r="L7" s="3" t="s">
        <v>450</v>
      </c>
      <c r="M7" s="3" t="s">
        <v>9</v>
      </c>
    </row>
    <row r="8" ht="12.75" customHeight="1" spans="2:13">
      <c r="B8" s="3" t="s">
        <v>451</v>
      </c>
      <c r="C8" s="3" t="s">
        <v>9</v>
      </c>
      <c r="D8" s="3" t="s">
        <v>452</v>
      </c>
      <c r="E8" s="3" t="s">
        <v>453</v>
      </c>
      <c r="F8" s="3" t="s">
        <v>9</v>
      </c>
      <c r="G8" s="3" t="s">
        <v>453</v>
      </c>
      <c r="H8" s="3" t="s">
        <v>453</v>
      </c>
      <c r="I8" s="3" t="s">
        <v>9</v>
      </c>
      <c r="J8" s="3" t="s">
        <v>9</v>
      </c>
      <c r="K8" s="3" t="s">
        <v>9</v>
      </c>
      <c r="L8" s="3" t="s">
        <v>453</v>
      </c>
      <c r="M8" s="3" t="s">
        <v>9</v>
      </c>
    </row>
    <row r="9" ht="12.75" customHeight="1" spans="2:13">
      <c r="B9" s="3" t="s">
        <v>454</v>
      </c>
      <c r="C9" s="3" t="s">
        <v>9</v>
      </c>
      <c r="D9" s="3" t="s">
        <v>455</v>
      </c>
      <c r="E9" s="3" t="s">
        <v>456</v>
      </c>
      <c r="F9" s="3" t="s">
        <v>9</v>
      </c>
      <c r="G9" s="3" t="s">
        <v>453</v>
      </c>
      <c r="H9" s="3" t="s">
        <v>453</v>
      </c>
      <c r="I9" s="3" t="s">
        <v>9</v>
      </c>
      <c r="J9" s="3" t="s">
        <v>9</v>
      </c>
      <c r="K9" s="3" t="s">
        <v>9</v>
      </c>
      <c r="L9" s="3" t="s">
        <v>453</v>
      </c>
      <c r="M9" s="3" t="s">
        <v>9</v>
      </c>
    </row>
    <row r="10" ht="12.75" customHeight="1" spans="2:13">
      <c r="B10" s="3" t="s">
        <v>457</v>
      </c>
      <c r="C10" s="3" t="s">
        <v>9</v>
      </c>
      <c r="D10" s="3" t="s">
        <v>455</v>
      </c>
      <c r="E10" s="3" t="s">
        <v>456</v>
      </c>
      <c r="F10" s="3" t="s">
        <v>9</v>
      </c>
      <c r="G10" s="3" t="s">
        <v>453</v>
      </c>
      <c r="H10" s="3" t="s">
        <v>453</v>
      </c>
      <c r="I10" s="3" t="s">
        <v>9</v>
      </c>
      <c r="J10" s="3" t="s">
        <v>9</v>
      </c>
      <c r="K10" s="3" t="s">
        <v>9</v>
      </c>
      <c r="L10" s="3" t="s">
        <v>453</v>
      </c>
      <c r="M10" s="3" t="s">
        <v>9</v>
      </c>
    </row>
    <row r="11" ht="12.75" customHeight="1" spans="2:13">
      <c r="B11" s="3" t="s">
        <v>458</v>
      </c>
      <c r="C11" s="3" t="s">
        <v>9</v>
      </c>
      <c r="D11" s="3" t="s">
        <v>459</v>
      </c>
      <c r="E11" s="3" t="s">
        <v>459</v>
      </c>
      <c r="F11" s="3" t="s">
        <v>9</v>
      </c>
      <c r="G11" s="3" t="s">
        <v>460</v>
      </c>
      <c r="H11" s="3" t="s">
        <v>460</v>
      </c>
      <c r="I11" s="3" t="s">
        <v>9</v>
      </c>
      <c r="J11" s="3" t="s">
        <v>9</v>
      </c>
      <c r="K11" s="3" t="s">
        <v>9</v>
      </c>
      <c r="L11" s="3" t="s">
        <v>460</v>
      </c>
      <c r="M11" s="3" t="s">
        <v>9</v>
      </c>
    </row>
    <row r="12" ht="12.75" customHeight="1" spans="2:13">
      <c r="B12" s="3" t="s">
        <v>461</v>
      </c>
      <c r="C12" s="3" t="s">
        <v>9</v>
      </c>
      <c r="D12" s="3" t="s">
        <v>462</v>
      </c>
      <c r="E12" s="3" t="s">
        <v>463</v>
      </c>
      <c r="F12" s="3" t="s">
        <v>9</v>
      </c>
      <c r="G12" s="3" t="s">
        <v>464</v>
      </c>
      <c r="H12" s="3" t="s">
        <v>465</v>
      </c>
      <c r="I12" s="3" t="s">
        <v>9</v>
      </c>
      <c r="J12" s="3" t="s">
        <v>9</v>
      </c>
      <c r="K12" s="3" t="s">
        <v>9</v>
      </c>
      <c r="L12" s="3" t="s">
        <v>464</v>
      </c>
      <c r="M12" s="3" t="s">
        <v>9</v>
      </c>
    </row>
    <row r="13" ht="12.75" customHeight="1" spans="2:13">
      <c r="B13" s="3" t="s">
        <v>466</v>
      </c>
      <c r="C13" s="3" t="s">
        <v>9</v>
      </c>
      <c r="D13" s="3" t="s">
        <v>467</v>
      </c>
      <c r="E13" s="3" t="s">
        <v>468</v>
      </c>
      <c r="F13" s="3"/>
      <c r="G13" s="3" t="s">
        <v>464</v>
      </c>
      <c r="H13" s="3" t="s">
        <v>469</v>
      </c>
      <c r="I13" s="3"/>
      <c r="J13" s="3"/>
      <c r="K13" s="3"/>
      <c r="L13" s="3" t="s">
        <v>464</v>
      </c>
      <c r="M13" s="3" t="s">
        <v>9</v>
      </c>
    </row>
    <row r="14" ht="12.75" customHeight="1" spans="2:13">
      <c r="B14" s="3" t="s">
        <v>470</v>
      </c>
      <c r="C14" s="3" t="s">
        <v>9</v>
      </c>
      <c r="D14" s="3" t="s">
        <v>471</v>
      </c>
      <c r="E14" s="3" t="s">
        <v>442</v>
      </c>
      <c r="F14" s="3" t="s">
        <v>9</v>
      </c>
      <c r="G14" s="3" t="s">
        <v>442</v>
      </c>
      <c r="H14" s="3" t="s">
        <v>442</v>
      </c>
      <c r="I14" s="3" t="s">
        <v>9</v>
      </c>
      <c r="J14" s="3" t="s">
        <v>9</v>
      </c>
      <c r="K14" s="3" t="s">
        <v>9</v>
      </c>
      <c r="L14" s="3" t="s">
        <v>442</v>
      </c>
      <c r="M14" s="3" t="s">
        <v>9</v>
      </c>
    </row>
    <row r="15" ht="12.75" customHeight="1" spans="2:13">
      <c r="B15" s="3" t="s">
        <v>472</v>
      </c>
      <c r="C15" s="3" t="s">
        <v>9</v>
      </c>
      <c r="D15" s="3" t="s">
        <v>439</v>
      </c>
      <c r="E15" s="3" t="s">
        <v>442</v>
      </c>
      <c r="F15" s="3" t="s">
        <v>9</v>
      </c>
      <c r="G15" s="3" t="s">
        <v>442</v>
      </c>
      <c r="H15" s="3" t="s">
        <v>442</v>
      </c>
      <c r="I15" s="3" t="s">
        <v>9</v>
      </c>
      <c r="J15" s="3" t="s">
        <v>9</v>
      </c>
      <c r="K15" s="3" t="s">
        <v>9</v>
      </c>
      <c r="L15" s="3" t="s">
        <v>442</v>
      </c>
      <c r="M15" s="3" t="s">
        <v>9</v>
      </c>
    </row>
    <row r="16" ht="12.75" customHeight="1" spans="2:13">
      <c r="B16" s="3" t="s">
        <v>473</v>
      </c>
      <c r="C16" s="3" t="s">
        <v>9</v>
      </c>
      <c r="D16" s="3" t="s">
        <v>474</v>
      </c>
      <c r="E16" s="3" t="s">
        <v>442</v>
      </c>
      <c r="F16" s="3" t="s">
        <v>9</v>
      </c>
      <c r="G16" s="3" t="s">
        <v>442</v>
      </c>
      <c r="H16" s="3" t="s">
        <v>442</v>
      </c>
      <c r="I16" s="3" t="s">
        <v>9</v>
      </c>
      <c r="J16" s="3" t="s">
        <v>9</v>
      </c>
      <c r="K16" s="3" t="s">
        <v>9</v>
      </c>
      <c r="L16" s="3" t="s">
        <v>442</v>
      </c>
      <c r="M16" s="3" t="s">
        <v>9</v>
      </c>
    </row>
    <row r="17" ht="12.75" customHeight="1" spans="2:13">
      <c r="B17" s="3" t="s">
        <v>475</v>
      </c>
      <c r="C17" s="3" t="s">
        <v>9</v>
      </c>
      <c r="D17" s="3" t="s">
        <v>476</v>
      </c>
      <c r="E17" s="3" t="s">
        <v>477</v>
      </c>
      <c r="F17" s="3" t="s">
        <v>9</v>
      </c>
      <c r="G17" s="3" t="s">
        <v>478</v>
      </c>
      <c r="H17" s="3" t="s">
        <v>478</v>
      </c>
      <c r="I17" s="3" t="s">
        <v>9</v>
      </c>
      <c r="J17" s="3" t="s">
        <v>9</v>
      </c>
      <c r="K17" s="3" t="s">
        <v>9</v>
      </c>
      <c r="L17" s="3" t="s">
        <v>478</v>
      </c>
      <c r="M17" s="3" t="s">
        <v>9</v>
      </c>
    </row>
    <row r="18" ht="12.75" customHeight="1" spans="2:13">
      <c r="B18" s="3" t="s">
        <v>479</v>
      </c>
      <c r="C18" s="3" t="s">
        <v>9</v>
      </c>
      <c r="D18" s="3" t="s">
        <v>480</v>
      </c>
      <c r="E18" s="3" t="s">
        <v>481</v>
      </c>
      <c r="F18" s="3" t="s">
        <v>9</v>
      </c>
      <c r="G18" s="3" t="s">
        <v>464</v>
      </c>
      <c r="H18" s="3" t="s">
        <v>482</v>
      </c>
      <c r="I18" s="3" t="s">
        <v>9</v>
      </c>
      <c r="J18" s="3" t="s">
        <v>9</v>
      </c>
      <c r="K18" s="3" t="s">
        <v>9</v>
      </c>
      <c r="L18" s="3" t="s">
        <v>464</v>
      </c>
      <c r="M18" s="3" t="s">
        <v>9</v>
      </c>
    </row>
    <row r="19" ht="12.75" customHeight="1" spans="2:13">
      <c r="B19" s="3" t="s">
        <v>483</v>
      </c>
      <c r="C19" s="3" t="s">
        <v>9</v>
      </c>
      <c r="D19" s="3" t="s">
        <v>484</v>
      </c>
      <c r="E19" s="3" t="s">
        <v>484</v>
      </c>
      <c r="F19" s="3" t="s">
        <v>9</v>
      </c>
      <c r="G19" s="3" t="s">
        <v>9</v>
      </c>
      <c r="H19" s="3" t="s">
        <v>9</v>
      </c>
      <c r="I19" s="3" t="s">
        <v>9</v>
      </c>
      <c r="J19" s="3" t="s">
        <v>9</v>
      </c>
      <c r="K19" s="3" t="s">
        <v>9</v>
      </c>
      <c r="L19" s="3" t="s">
        <v>9</v>
      </c>
      <c r="M19" s="3" t="s">
        <v>9</v>
      </c>
    </row>
    <row r="20" ht="12.75" customHeight="1" spans="2:13">
      <c r="B20" s="3" t="s">
        <v>485</v>
      </c>
      <c r="C20" s="3" t="s">
        <v>9</v>
      </c>
      <c r="D20" s="3" t="s">
        <v>486</v>
      </c>
      <c r="E20" s="3" t="s">
        <v>486</v>
      </c>
      <c r="F20" s="3"/>
      <c r="G20" s="3" t="s">
        <v>487</v>
      </c>
      <c r="H20" s="3" t="s">
        <v>487</v>
      </c>
      <c r="I20" s="3"/>
      <c r="J20" s="3"/>
      <c r="K20" s="3"/>
      <c r="L20" s="3" t="s">
        <v>487</v>
      </c>
      <c r="M20" s="3" t="s">
        <v>9</v>
      </c>
    </row>
    <row r="21" ht="12.75" customHeight="1" spans="2:13">
      <c r="B21" s="3" t="s">
        <v>488</v>
      </c>
      <c r="C21" s="3" t="s">
        <v>489</v>
      </c>
      <c r="D21" s="3" t="s">
        <v>476</v>
      </c>
      <c r="E21" s="3" t="s">
        <v>477</v>
      </c>
      <c r="F21" s="3" t="s">
        <v>490</v>
      </c>
      <c r="G21" s="3" t="s">
        <v>478</v>
      </c>
      <c r="H21" s="3" t="s">
        <v>478</v>
      </c>
      <c r="I21" s="3" t="s">
        <v>491</v>
      </c>
      <c r="J21" s="3" t="s">
        <v>491</v>
      </c>
      <c r="K21" s="3" t="s">
        <v>491</v>
      </c>
      <c r="L21" s="3" t="s">
        <v>478</v>
      </c>
      <c r="M21" s="3" t="s">
        <v>9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07"/>
  <sheetViews>
    <sheetView workbookViewId="0">
      <selection activeCell="E13" sqref="E13"/>
    </sheetView>
  </sheetViews>
  <sheetFormatPr defaultColWidth="8.88888888888889" defaultRowHeight="13.2"/>
  <cols>
    <col min="1" max="1" width="8.85185185185185" style="1" customWidth="1"/>
    <col min="2" max="10" width="19.5740740740741" style="1" customWidth="1"/>
    <col min="11" max="15" width="8.85185185185185" style="1" customWidth="1"/>
  </cols>
  <sheetData>
    <row r="2" ht="12.75" customHeight="1" spans="2:10">
      <c r="B2" s="2" t="s">
        <v>424</v>
      </c>
      <c r="C2" s="2" t="s">
        <v>492</v>
      </c>
      <c r="D2" s="2" t="s">
        <v>493</v>
      </c>
      <c r="E2" s="2" t="s">
        <v>494</v>
      </c>
      <c r="F2" s="2" t="s">
        <v>495</v>
      </c>
      <c r="G2" s="2" t="s">
        <v>65</v>
      </c>
      <c r="H2" s="2" t="s">
        <v>6</v>
      </c>
      <c r="I2" s="2" t="s">
        <v>496</v>
      </c>
      <c r="J2" s="2" t="s">
        <v>497</v>
      </c>
    </row>
    <row r="3" ht="12.75" customHeight="1" spans="2:10">
      <c r="B3" s="3" t="s">
        <v>498</v>
      </c>
      <c r="C3" s="3" t="s">
        <v>499</v>
      </c>
      <c r="D3" s="4" t="str">
        <f>HYPERLINK("#'标准数据类型'!A5","HsTInteger")</f>
        <v>HsTInteger</v>
      </c>
      <c r="E3" s="3" t="s">
        <v>9</v>
      </c>
      <c r="F3" s="3" t="s">
        <v>9</v>
      </c>
      <c r="G3" s="3" t="s">
        <v>500</v>
      </c>
      <c r="H3" s="3" t="s">
        <v>9</v>
      </c>
      <c r="I3" s="3" t="s">
        <v>501</v>
      </c>
      <c r="J3" s="3" t="s">
        <v>502</v>
      </c>
    </row>
    <row r="4" ht="12.75" customHeight="1" spans="2:10">
      <c r="B4" s="3" t="s">
        <v>503</v>
      </c>
      <c r="C4" s="3" t="s">
        <v>504</v>
      </c>
      <c r="D4" s="4" t="str">
        <f>HYPERLINK("#'标准数据类型'!A6","HsTLong")</f>
        <v>HsTLong</v>
      </c>
      <c r="E4" s="3" t="s">
        <v>9</v>
      </c>
      <c r="F4" s="3" t="s">
        <v>9</v>
      </c>
      <c r="G4" s="3" t="s">
        <v>500</v>
      </c>
      <c r="H4" s="3" t="s">
        <v>9</v>
      </c>
      <c r="I4" s="3" t="s">
        <v>501</v>
      </c>
      <c r="J4" s="3" t="s">
        <v>505</v>
      </c>
    </row>
    <row r="5" ht="12.75" customHeight="1" spans="2:10">
      <c r="B5" s="3" t="s">
        <v>506</v>
      </c>
      <c r="C5" s="3" t="s">
        <v>507</v>
      </c>
      <c r="D5" s="4" t="str">
        <f>HYPERLINK("#'标准数据类型'!A8","HsTDouble")</f>
        <v>HsTDouble</v>
      </c>
      <c r="E5" s="3" t="s">
        <v>9</v>
      </c>
      <c r="F5" s="3" t="s">
        <v>9</v>
      </c>
      <c r="G5" s="3" t="s">
        <v>508</v>
      </c>
      <c r="H5" s="3" t="s">
        <v>9</v>
      </c>
      <c r="I5" s="3" t="s">
        <v>501</v>
      </c>
      <c r="J5" s="3" t="s">
        <v>509</v>
      </c>
    </row>
    <row r="6" ht="12.75" customHeight="1" spans="2:10">
      <c r="B6" s="3" t="s">
        <v>510</v>
      </c>
      <c r="C6" s="3" t="s">
        <v>511</v>
      </c>
      <c r="D6" s="4" t="str">
        <f>HYPERLINK("#'标准数据类型'!A12","HsTVarChar")</f>
        <v>HsTVarChar</v>
      </c>
      <c r="E6" s="3" t="s">
        <v>512</v>
      </c>
      <c r="F6" s="3" t="s">
        <v>9</v>
      </c>
      <c r="G6" s="3" t="s">
        <v>513</v>
      </c>
      <c r="H6" s="3" t="s">
        <v>9</v>
      </c>
      <c r="I6" s="3" t="s">
        <v>501</v>
      </c>
      <c r="J6" s="3" t="s">
        <v>514</v>
      </c>
    </row>
    <row r="7" ht="12.75" customHeight="1" spans="2:10">
      <c r="B7" s="3" t="s">
        <v>515</v>
      </c>
      <c r="C7" s="3" t="s">
        <v>516</v>
      </c>
      <c r="D7" s="4" t="str">
        <f>HYPERLINK("#'标准数据类型'!A12","HsTVarChar")</f>
        <v>HsTVarChar</v>
      </c>
      <c r="E7" s="3" t="s">
        <v>517</v>
      </c>
      <c r="F7" s="3" t="s">
        <v>9</v>
      </c>
      <c r="G7" s="3" t="s">
        <v>513</v>
      </c>
      <c r="H7" s="3" t="s">
        <v>9</v>
      </c>
      <c r="I7" s="3" t="s">
        <v>501</v>
      </c>
      <c r="J7" s="3" t="s">
        <v>518</v>
      </c>
    </row>
    <row r="8" ht="12.75" customHeight="1" spans="2:10">
      <c r="B8" s="3" t="s">
        <v>519</v>
      </c>
      <c r="C8" s="3" t="s">
        <v>520</v>
      </c>
      <c r="D8" s="4" t="str">
        <f>HYPERLINK("#'标准数据类型'!A12","HsTVarChar")</f>
        <v>HsTVarChar</v>
      </c>
      <c r="E8" s="3" t="s">
        <v>512</v>
      </c>
      <c r="F8" s="3" t="s">
        <v>9</v>
      </c>
      <c r="G8" s="3" t="s">
        <v>513</v>
      </c>
      <c r="H8" s="3" t="s">
        <v>9</v>
      </c>
      <c r="I8" s="3" t="s">
        <v>501</v>
      </c>
      <c r="J8" s="3" t="s">
        <v>521</v>
      </c>
    </row>
    <row r="9" ht="12.75" customHeight="1" spans="2:10">
      <c r="B9" s="3" t="s">
        <v>522</v>
      </c>
      <c r="C9" s="3" t="s">
        <v>523</v>
      </c>
      <c r="D9" s="4" t="str">
        <f>HYPERLINK("#'标准数据类型'!A12","HsTVarChar")</f>
        <v>HsTVarChar</v>
      </c>
      <c r="E9" s="3" t="s">
        <v>512</v>
      </c>
      <c r="F9" s="3" t="s">
        <v>9</v>
      </c>
      <c r="G9" s="3" t="s">
        <v>513</v>
      </c>
      <c r="H9" s="3" t="s">
        <v>9</v>
      </c>
      <c r="I9" s="3" t="s">
        <v>501</v>
      </c>
      <c r="J9" s="3" t="s">
        <v>524</v>
      </c>
    </row>
    <row r="10" ht="12.75" customHeight="1" spans="2:10">
      <c r="B10" s="3" t="s">
        <v>525</v>
      </c>
      <c r="C10" s="3" t="s">
        <v>526</v>
      </c>
      <c r="D10" s="4" t="str">
        <f t="shared" ref="D10:D29" si="0">HYPERLINK("#'标准数据类型'!A9","HsTNumeric")</f>
        <v>HsTNumeric</v>
      </c>
      <c r="E10" s="3" t="s">
        <v>527</v>
      </c>
      <c r="F10" s="3" t="s">
        <v>528</v>
      </c>
      <c r="G10" s="3" t="s">
        <v>500</v>
      </c>
      <c r="H10" s="3" t="s">
        <v>9</v>
      </c>
      <c r="I10" s="3" t="s">
        <v>529</v>
      </c>
      <c r="J10" s="3" t="s">
        <v>530</v>
      </c>
    </row>
    <row r="11" ht="12.75" customHeight="1" spans="2:10">
      <c r="B11" s="3" t="s">
        <v>531</v>
      </c>
      <c r="C11" s="3" t="s">
        <v>532</v>
      </c>
      <c r="D11" s="4" t="str">
        <f t="shared" si="0"/>
        <v>HsTNumeric</v>
      </c>
      <c r="E11" s="3" t="s">
        <v>527</v>
      </c>
      <c r="F11" s="3" t="s">
        <v>528</v>
      </c>
      <c r="G11" s="3" t="s">
        <v>533</v>
      </c>
      <c r="H11" s="3" t="s">
        <v>9</v>
      </c>
      <c r="I11" s="3" t="s">
        <v>501</v>
      </c>
      <c r="J11" s="3" t="s">
        <v>534</v>
      </c>
    </row>
    <row r="12" ht="12.75" customHeight="1" spans="2:10">
      <c r="B12" s="3" t="s">
        <v>535</v>
      </c>
      <c r="C12" s="3" t="s">
        <v>536</v>
      </c>
      <c r="D12" s="4" t="str">
        <f t="shared" si="0"/>
        <v>HsTNumeric</v>
      </c>
      <c r="E12" s="3" t="s">
        <v>527</v>
      </c>
      <c r="F12" s="3" t="s">
        <v>528</v>
      </c>
      <c r="G12" s="3" t="s">
        <v>537</v>
      </c>
      <c r="H12" s="3" t="s">
        <v>9</v>
      </c>
      <c r="I12" s="3" t="s">
        <v>501</v>
      </c>
      <c r="J12" s="3" t="s">
        <v>538</v>
      </c>
    </row>
    <row r="13" ht="12.75" customHeight="1" spans="2:10">
      <c r="B13" s="3" t="s">
        <v>539</v>
      </c>
      <c r="C13" s="3" t="s">
        <v>540</v>
      </c>
      <c r="D13" s="4" t="str">
        <f t="shared" si="0"/>
        <v>HsTNumeric</v>
      </c>
      <c r="E13" s="3" t="s">
        <v>527</v>
      </c>
      <c r="F13" s="3" t="s">
        <v>528</v>
      </c>
      <c r="G13" s="3" t="s">
        <v>500</v>
      </c>
      <c r="H13" s="3" t="s">
        <v>9</v>
      </c>
      <c r="I13" s="3" t="s">
        <v>501</v>
      </c>
      <c r="J13" s="3" t="s">
        <v>541</v>
      </c>
    </row>
    <row r="14" ht="12.75" customHeight="1" spans="2:10">
      <c r="B14" s="3" t="s">
        <v>542</v>
      </c>
      <c r="C14" s="3" t="s">
        <v>543</v>
      </c>
      <c r="D14" s="4" t="str">
        <f t="shared" si="0"/>
        <v>HsTNumeric</v>
      </c>
      <c r="E14" s="3" t="s">
        <v>527</v>
      </c>
      <c r="F14" s="3" t="s">
        <v>528</v>
      </c>
      <c r="G14" s="3" t="s">
        <v>500</v>
      </c>
      <c r="H14" s="3" t="s">
        <v>9</v>
      </c>
      <c r="I14" s="3" t="s">
        <v>501</v>
      </c>
      <c r="J14" s="3" t="s">
        <v>544</v>
      </c>
    </row>
    <row r="15" ht="12.75" customHeight="1" spans="2:10">
      <c r="B15" s="3" t="s">
        <v>545</v>
      </c>
      <c r="C15" s="3" t="s">
        <v>546</v>
      </c>
      <c r="D15" s="4" t="str">
        <f t="shared" si="0"/>
        <v>HsTNumeric</v>
      </c>
      <c r="E15" s="3" t="s">
        <v>527</v>
      </c>
      <c r="F15" s="3" t="s">
        <v>528</v>
      </c>
      <c r="G15" s="3" t="s">
        <v>500</v>
      </c>
      <c r="H15" s="3" t="s">
        <v>9</v>
      </c>
      <c r="I15" s="3" t="s">
        <v>529</v>
      </c>
      <c r="J15" s="3" t="s">
        <v>547</v>
      </c>
    </row>
    <row r="16" ht="12.75" customHeight="1" spans="2:10">
      <c r="B16" s="3" t="s">
        <v>548</v>
      </c>
      <c r="C16" s="3" t="s">
        <v>549</v>
      </c>
      <c r="D16" s="4" t="str">
        <f t="shared" si="0"/>
        <v>HsTNumeric</v>
      </c>
      <c r="E16" s="3" t="s">
        <v>527</v>
      </c>
      <c r="F16" s="3" t="s">
        <v>528</v>
      </c>
      <c r="G16" s="3" t="s">
        <v>500</v>
      </c>
      <c r="H16" s="3" t="s">
        <v>9</v>
      </c>
      <c r="I16" s="3" t="s">
        <v>501</v>
      </c>
      <c r="J16" s="3" t="s">
        <v>550</v>
      </c>
    </row>
    <row r="17" ht="12.75" customHeight="1" spans="2:10">
      <c r="B17" s="3" t="s">
        <v>551</v>
      </c>
      <c r="C17" s="3" t="s">
        <v>552</v>
      </c>
      <c r="D17" s="4" t="str">
        <f t="shared" si="0"/>
        <v>HsTNumeric</v>
      </c>
      <c r="E17" s="3" t="s">
        <v>527</v>
      </c>
      <c r="F17" s="3" t="s">
        <v>528</v>
      </c>
      <c r="G17" s="3" t="s">
        <v>500</v>
      </c>
      <c r="H17" s="3" t="s">
        <v>9</v>
      </c>
      <c r="I17" s="3" t="s">
        <v>501</v>
      </c>
      <c r="J17" s="3" t="s">
        <v>553</v>
      </c>
    </row>
    <row r="18" ht="12.75" customHeight="1" spans="2:10">
      <c r="B18" s="3" t="s">
        <v>554</v>
      </c>
      <c r="C18" s="3" t="s">
        <v>555</v>
      </c>
      <c r="D18" s="4" t="str">
        <f t="shared" si="0"/>
        <v>HsTNumeric</v>
      </c>
      <c r="E18" s="3" t="s">
        <v>527</v>
      </c>
      <c r="F18" s="3" t="s">
        <v>528</v>
      </c>
      <c r="G18" s="3" t="s">
        <v>500</v>
      </c>
      <c r="H18" s="3" t="s">
        <v>9</v>
      </c>
      <c r="I18" s="3" t="s">
        <v>501</v>
      </c>
      <c r="J18" s="3" t="s">
        <v>556</v>
      </c>
    </row>
    <row r="19" ht="12.75" customHeight="1" spans="2:10">
      <c r="B19" s="3" t="s">
        <v>557</v>
      </c>
      <c r="C19" s="3" t="s">
        <v>558</v>
      </c>
      <c r="D19" s="4" t="str">
        <f t="shared" si="0"/>
        <v>HsTNumeric</v>
      </c>
      <c r="E19" s="3" t="s">
        <v>559</v>
      </c>
      <c r="F19" s="3" t="s">
        <v>560</v>
      </c>
      <c r="G19" s="3" t="s">
        <v>508</v>
      </c>
      <c r="H19" s="3" t="s">
        <v>9</v>
      </c>
      <c r="I19" s="3" t="s">
        <v>501</v>
      </c>
      <c r="J19" s="3" t="s">
        <v>561</v>
      </c>
    </row>
    <row r="20" ht="12.75" customHeight="1" spans="2:10">
      <c r="B20" s="3" t="s">
        <v>562</v>
      </c>
      <c r="C20" s="3" t="s">
        <v>563</v>
      </c>
      <c r="D20" s="4" t="str">
        <f t="shared" si="0"/>
        <v>HsTNumeric</v>
      </c>
      <c r="E20" s="3" t="s">
        <v>559</v>
      </c>
      <c r="F20" s="3" t="s">
        <v>560</v>
      </c>
      <c r="G20" s="3" t="s">
        <v>508</v>
      </c>
      <c r="H20" s="3" t="s">
        <v>9</v>
      </c>
      <c r="I20" s="3" t="s">
        <v>501</v>
      </c>
      <c r="J20" s="3" t="s">
        <v>564</v>
      </c>
    </row>
    <row r="21" ht="12.75" customHeight="1" spans="2:10">
      <c r="B21" s="3" t="s">
        <v>565</v>
      </c>
      <c r="C21" s="3" t="s">
        <v>566</v>
      </c>
      <c r="D21" s="4" t="str">
        <f t="shared" si="0"/>
        <v>HsTNumeric</v>
      </c>
      <c r="E21" s="3" t="s">
        <v>567</v>
      </c>
      <c r="F21" s="3" t="s">
        <v>568</v>
      </c>
      <c r="G21" s="3" t="s">
        <v>508</v>
      </c>
      <c r="H21" s="3" t="s">
        <v>9</v>
      </c>
      <c r="I21" s="3" t="s">
        <v>501</v>
      </c>
      <c r="J21" s="3" t="s">
        <v>569</v>
      </c>
    </row>
    <row r="22" ht="12.75" customHeight="1" spans="2:10">
      <c r="B22" s="3" t="s">
        <v>570</v>
      </c>
      <c r="C22" s="3" t="s">
        <v>571</v>
      </c>
      <c r="D22" s="4" t="str">
        <f t="shared" si="0"/>
        <v>HsTNumeric</v>
      </c>
      <c r="E22" s="3" t="s">
        <v>567</v>
      </c>
      <c r="F22" s="3" t="s">
        <v>568</v>
      </c>
      <c r="G22" s="3" t="s">
        <v>508</v>
      </c>
      <c r="H22" s="3" t="s">
        <v>9</v>
      </c>
      <c r="I22" s="3" t="s">
        <v>501</v>
      </c>
      <c r="J22" s="3" t="s">
        <v>572</v>
      </c>
    </row>
    <row r="23" ht="12.75" customHeight="1" spans="2:10">
      <c r="B23" s="3" t="s">
        <v>573</v>
      </c>
      <c r="C23" s="3" t="s">
        <v>574</v>
      </c>
      <c r="D23" s="4" t="str">
        <f t="shared" si="0"/>
        <v>HsTNumeric</v>
      </c>
      <c r="E23" s="3" t="s">
        <v>575</v>
      </c>
      <c r="F23" s="3" t="s">
        <v>576</v>
      </c>
      <c r="G23" s="3" t="s">
        <v>508</v>
      </c>
      <c r="H23" s="3" t="s">
        <v>9</v>
      </c>
      <c r="I23" s="3" t="s">
        <v>501</v>
      </c>
      <c r="J23" s="3" t="s">
        <v>577</v>
      </c>
    </row>
    <row r="24" ht="12.75" customHeight="1" spans="2:10">
      <c r="B24" s="3" t="s">
        <v>578</v>
      </c>
      <c r="C24" s="3" t="s">
        <v>579</v>
      </c>
      <c r="D24" s="4" t="str">
        <f t="shared" si="0"/>
        <v>HsTNumeric</v>
      </c>
      <c r="E24" s="3" t="s">
        <v>559</v>
      </c>
      <c r="F24" s="3" t="s">
        <v>580</v>
      </c>
      <c r="G24" s="3" t="s">
        <v>508</v>
      </c>
      <c r="H24" s="3" t="s">
        <v>9</v>
      </c>
      <c r="I24" s="3" t="s">
        <v>501</v>
      </c>
      <c r="J24" s="3" t="s">
        <v>581</v>
      </c>
    </row>
    <row r="25" ht="12.75" customHeight="1" spans="2:10">
      <c r="B25" s="3" t="s">
        <v>582</v>
      </c>
      <c r="C25" s="3" t="s">
        <v>583</v>
      </c>
      <c r="D25" s="4" t="str">
        <f t="shared" si="0"/>
        <v>HsTNumeric</v>
      </c>
      <c r="E25" s="3" t="s">
        <v>567</v>
      </c>
      <c r="F25" s="3" t="s">
        <v>517</v>
      </c>
      <c r="G25" s="3" t="s">
        <v>508</v>
      </c>
      <c r="H25" s="3" t="s">
        <v>9</v>
      </c>
      <c r="I25" s="3" t="s">
        <v>501</v>
      </c>
      <c r="J25" s="3" t="s">
        <v>584</v>
      </c>
    </row>
    <row r="26" ht="12.75" customHeight="1" spans="2:10">
      <c r="B26" s="3" t="s">
        <v>585</v>
      </c>
      <c r="C26" s="3" t="s">
        <v>586</v>
      </c>
      <c r="D26" s="4" t="str">
        <f t="shared" si="0"/>
        <v>HsTNumeric</v>
      </c>
      <c r="E26" s="3" t="s">
        <v>587</v>
      </c>
      <c r="F26" s="3" t="s">
        <v>560</v>
      </c>
      <c r="G26" s="3" t="s">
        <v>508</v>
      </c>
      <c r="H26" s="3" t="s">
        <v>9</v>
      </c>
      <c r="I26" s="3" t="s">
        <v>501</v>
      </c>
      <c r="J26" s="3" t="s">
        <v>588</v>
      </c>
    </row>
    <row r="27" ht="12.75" customHeight="1" spans="2:10">
      <c r="B27" s="3" t="s">
        <v>589</v>
      </c>
      <c r="C27" s="3" t="s">
        <v>590</v>
      </c>
      <c r="D27" s="4" t="str">
        <f t="shared" si="0"/>
        <v>HsTNumeric</v>
      </c>
      <c r="E27" s="3" t="s">
        <v>587</v>
      </c>
      <c r="F27" s="3" t="s">
        <v>560</v>
      </c>
      <c r="G27" s="3" t="s">
        <v>508</v>
      </c>
      <c r="H27" s="3" t="s">
        <v>9</v>
      </c>
      <c r="I27" s="3" t="s">
        <v>501</v>
      </c>
      <c r="J27" s="3" t="s">
        <v>591</v>
      </c>
    </row>
    <row r="28" ht="12.75" customHeight="1" spans="2:10">
      <c r="B28" s="3" t="s">
        <v>592</v>
      </c>
      <c r="C28" s="3" t="s">
        <v>593</v>
      </c>
      <c r="D28" s="4" t="str">
        <f t="shared" si="0"/>
        <v>HsTNumeric</v>
      </c>
      <c r="E28" s="3" t="s">
        <v>567</v>
      </c>
      <c r="F28" s="3" t="s">
        <v>568</v>
      </c>
      <c r="G28" s="3" t="s">
        <v>508</v>
      </c>
      <c r="H28" s="3" t="s">
        <v>9</v>
      </c>
      <c r="I28" s="3" t="s">
        <v>501</v>
      </c>
      <c r="J28" s="3" t="s">
        <v>594</v>
      </c>
    </row>
    <row r="29" ht="12.75" customHeight="1" spans="2:10">
      <c r="B29" s="3" t="s">
        <v>595</v>
      </c>
      <c r="C29" s="3" t="s">
        <v>596</v>
      </c>
      <c r="D29" s="4" t="str">
        <f t="shared" si="0"/>
        <v>HsTNumeric</v>
      </c>
      <c r="E29" s="3" t="s">
        <v>597</v>
      </c>
      <c r="F29" s="3" t="s">
        <v>517</v>
      </c>
      <c r="G29" s="3" t="s">
        <v>508</v>
      </c>
      <c r="H29" s="3" t="s">
        <v>9</v>
      </c>
      <c r="I29" s="3" t="s">
        <v>501</v>
      </c>
      <c r="J29" s="3" t="s">
        <v>598</v>
      </c>
    </row>
    <row r="30" ht="12.75" customHeight="1" spans="2:10">
      <c r="B30" s="3" t="s">
        <v>599</v>
      </c>
      <c r="C30" s="3" t="s">
        <v>600</v>
      </c>
      <c r="D30" s="4" t="str">
        <f t="shared" ref="D30:D90" si="1">HYPERLINK("#'标准数据类型'!A12","HsTVarChar")</f>
        <v>HsTVarChar</v>
      </c>
      <c r="E30" s="3" t="s">
        <v>517</v>
      </c>
      <c r="F30" s="3" t="s">
        <v>9</v>
      </c>
      <c r="G30" s="3" t="s">
        <v>601</v>
      </c>
      <c r="H30" s="3" t="s">
        <v>9</v>
      </c>
      <c r="I30" s="3" t="s">
        <v>501</v>
      </c>
      <c r="J30" s="3" t="s">
        <v>602</v>
      </c>
    </row>
    <row r="31" ht="12.75" customHeight="1" spans="2:10">
      <c r="B31" s="3" t="s">
        <v>603</v>
      </c>
      <c r="C31" s="3" t="s">
        <v>604</v>
      </c>
      <c r="D31" s="4" t="str">
        <f t="shared" si="1"/>
        <v>HsTVarChar</v>
      </c>
      <c r="E31" s="3" t="s">
        <v>517</v>
      </c>
      <c r="F31" s="3" t="s">
        <v>9</v>
      </c>
      <c r="G31" s="3" t="s">
        <v>601</v>
      </c>
      <c r="H31" s="3" t="s">
        <v>9</v>
      </c>
      <c r="I31" s="3" t="s">
        <v>501</v>
      </c>
      <c r="J31" s="3" t="s">
        <v>605</v>
      </c>
    </row>
    <row r="32" ht="12.75" customHeight="1" spans="2:10">
      <c r="B32" s="3" t="s">
        <v>606</v>
      </c>
      <c r="C32" s="3" t="s">
        <v>607</v>
      </c>
      <c r="D32" s="4" t="str">
        <f t="shared" si="1"/>
        <v>HsTVarChar</v>
      </c>
      <c r="E32" s="3" t="s">
        <v>580</v>
      </c>
      <c r="F32" s="3" t="s">
        <v>9</v>
      </c>
      <c r="G32" s="3" t="s">
        <v>601</v>
      </c>
      <c r="H32" s="3" t="s">
        <v>9</v>
      </c>
      <c r="I32" s="3" t="s">
        <v>501</v>
      </c>
      <c r="J32" s="3" t="s">
        <v>608</v>
      </c>
    </row>
    <row r="33" ht="12.75" customHeight="1" spans="2:10">
      <c r="B33" s="3" t="s">
        <v>609</v>
      </c>
      <c r="C33" s="3" t="s">
        <v>610</v>
      </c>
      <c r="D33" s="4" t="str">
        <f t="shared" si="1"/>
        <v>HsTVarChar</v>
      </c>
      <c r="E33" s="3" t="s">
        <v>580</v>
      </c>
      <c r="F33" s="3" t="s">
        <v>9</v>
      </c>
      <c r="G33" s="3" t="s">
        <v>601</v>
      </c>
      <c r="H33" s="3" t="s">
        <v>9</v>
      </c>
      <c r="I33" s="3" t="s">
        <v>501</v>
      </c>
      <c r="J33" s="3" t="s">
        <v>611</v>
      </c>
    </row>
    <row r="34" ht="12.75" customHeight="1" spans="2:10">
      <c r="B34" s="3" t="s">
        <v>612</v>
      </c>
      <c r="C34" s="3" t="s">
        <v>613</v>
      </c>
      <c r="D34" s="4" t="str">
        <f t="shared" si="1"/>
        <v>HsTVarChar</v>
      </c>
      <c r="E34" s="3" t="s">
        <v>576</v>
      </c>
      <c r="F34" s="3" t="s">
        <v>9</v>
      </c>
      <c r="G34" s="3" t="s">
        <v>601</v>
      </c>
      <c r="H34" s="3" t="s">
        <v>9</v>
      </c>
      <c r="I34" s="3" t="s">
        <v>501</v>
      </c>
      <c r="J34" s="3" t="s">
        <v>614</v>
      </c>
    </row>
    <row r="35" ht="12.75" customHeight="1" spans="2:10">
      <c r="B35" s="3" t="s">
        <v>615</v>
      </c>
      <c r="C35" s="3" t="s">
        <v>616</v>
      </c>
      <c r="D35" s="4" t="str">
        <f t="shared" si="1"/>
        <v>HsTVarChar</v>
      </c>
      <c r="E35" s="3" t="s">
        <v>617</v>
      </c>
      <c r="F35" s="3" t="s">
        <v>9</v>
      </c>
      <c r="G35" s="3" t="s">
        <v>601</v>
      </c>
      <c r="H35" s="3" t="s">
        <v>9</v>
      </c>
      <c r="I35" s="3" t="s">
        <v>501</v>
      </c>
      <c r="J35" s="3" t="s">
        <v>618</v>
      </c>
    </row>
    <row r="36" ht="12.75" customHeight="1" spans="2:10">
      <c r="B36" s="3" t="s">
        <v>619</v>
      </c>
      <c r="C36" s="3" t="s">
        <v>620</v>
      </c>
      <c r="D36" s="4" t="str">
        <f t="shared" si="1"/>
        <v>HsTVarChar</v>
      </c>
      <c r="E36" s="3" t="s">
        <v>560</v>
      </c>
      <c r="F36" s="3" t="s">
        <v>9</v>
      </c>
      <c r="G36" s="3" t="s">
        <v>601</v>
      </c>
      <c r="H36" s="3" t="s">
        <v>9</v>
      </c>
      <c r="I36" s="3" t="s">
        <v>529</v>
      </c>
      <c r="J36" s="3" t="s">
        <v>621</v>
      </c>
    </row>
    <row r="37" ht="12.75" customHeight="1" spans="2:10">
      <c r="B37" s="3" t="s">
        <v>622</v>
      </c>
      <c r="C37" s="3" t="s">
        <v>623</v>
      </c>
      <c r="D37" s="4" t="str">
        <f t="shared" si="1"/>
        <v>HsTVarChar</v>
      </c>
      <c r="E37" s="3" t="s">
        <v>560</v>
      </c>
      <c r="F37" s="3" t="s">
        <v>9</v>
      </c>
      <c r="G37" s="3" t="s">
        <v>601</v>
      </c>
      <c r="H37" s="3" t="s">
        <v>9</v>
      </c>
      <c r="I37" s="3" t="s">
        <v>501</v>
      </c>
      <c r="J37" s="3" t="s">
        <v>624</v>
      </c>
    </row>
    <row r="38" ht="12.75" customHeight="1" spans="2:10">
      <c r="B38" s="3" t="s">
        <v>625</v>
      </c>
      <c r="C38" s="3" t="s">
        <v>626</v>
      </c>
      <c r="D38" s="4" t="str">
        <f t="shared" si="1"/>
        <v>HsTVarChar</v>
      </c>
      <c r="E38" s="3" t="s">
        <v>627</v>
      </c>
      <c r="F38" s="3" t="s">
        <v>9</v>
      </c>
      <c r="G38" s="3" t="s">
        <v>601</v>
      </c>
      <c r="H38" s="3" t="s">
        <v>9</v>
      </c>
      <c r="I38" s="3" t="s">
        <v>529</v>
      </c>
      <c r="J38" s="3" t="s">
        <v>628</v>
      </c>
    </row>
    <row r="39" ht="12.75" customHeight="1" spans="2:10">
      <c r="B39" s="3" t="s">
        <v>629</v>
      </c>
      <c r="C39" s="3" t="s">
        <v>630</v>
      </c>
      <c r="D39" s="4" t="str">
        <f t="shared" si="1"/>
        <v>HsTVarChar</v>
      </c>
      <c r="E39" s="3" t="s">
        <v>627</v>
      </c>
      <c r="F39" s="3" t="s">
        <v>9</v>
      </c>
      <c r="G39" s="3" t="s">
        <v>601</v>
      </c>
      <c r="H39" s="3" t="s">
        <v>9</v>
      </c>
      <c r="I39" s="3" t="s">
        <v>501</v>
      </c>
      <c r="J39" s="3" t="s">
        <v>631</v>
      </c>
    </row>
    <row r="40" ht="12.75" customHeight="1" spans="2:10">
      <c r="B40" s="3" t="s">
        <v>632</v>
      </c>
      <c r="C40" s="3" t="s">
        <v>633</v>
      </c>
      <c r="D40" s="4" t="str">
        <f t="shared" si="1"/>
        <v>HsTVarChar</v>
      </c>
      <c r="E40" s="3" t="s">
        <v>527</v>
      </c>
      <c r="F40" s="3" t="s">
        <v>9</v>
      </c>
      <c r="G40" s="3" t="s">
        <v>601</v>
      </c>
      <c r="H40" s="3" t="s">
        <v>9</v>
      </c>
      <c r="I40" s="3" t="s">
        <v>501</v>
      </c>
      <c r="J40" s="3" t="s">
        <v>634</v>
      </c>
    </row>
    <row r="41" ht="12.75" customHeight="1" spans="2:10">
      <c r="B41" s="3" t="s">
        <v>635</v>
      </c>
      <c r="C41" s="3" t="s">
        <v>636</v>
      </c>
      <c r="D41" s="4" t="str">
        <f t="shared" si="1"/>
        <v>HsTVarChar</v>
      </c>
      <c r="E41" s="3" t="s">
        <v>637</v>
      </c>
      <c r="F41" s="3" t="s">
        <v>9</v>
      </c>
      <c r="G41" s="3" t="s">
        <v>601</v>
      </c>
      <c r="H41" s="3" t="s">
        <v>9</v>
      </c>
      <c r="I41" s="3" t="s">
        <v>501</v>
      </c>
      <c r="J41" s="3" t="s">
        <v>638</v>
      </c>
    </row>
    <row r="42" ht="12.75" customHeight="1" spans="2:10">
      <c r="B42" s="3" t="s">
        <v>639</v>
      </c>
      <c r="C42" s="3" t="s">
        <v>640</v>
      </c>
      <c r="D42" s="4" t="str">
        <f t="shared" si="1"/>
        <v>HsTVarChar</v>
      </c>
      <c r="E42" s="3" t="s">
        <v>641</v>
      </c>
      <c r="F42" s="3" t="s">
        <v>9</v>
      </c>
      <c r="G42" s="3" t="s">
        <v>601</v>
      </c>
      <c r="H42" s="3" t="s">
        <v>9</v>
      </c>
      <c r="I42" s="3" t="s">
        <v>501</v>
      </c>
      <c r="J42" s="3" t="s">
        <v>642</v>
      </c>
    </row>
    <row r="43" ht="12.75" customHeight="1" spans="2:10">
      <c r="B43" s="3" t="s">
        <v>643</v>
      </c>
      <c r="C43" s="3" t="s">
        <v>644</v>
      </c>
      <c r="D43" s="4" t="str">
        <f t="shared" si="1"/>
        <v>HsTVarChar</v>
      </c>
      <c r="E43" s="3" t="s">
        <v>637</v>
      </c>
      <c r="F43" s="3" t="s">
        <v>9</v>
      </c>
      <c r="G43" s="3" t="s">
        <v>601</v>
      </c>
      <c r="H43" s="3" t="s">
        <v>9</v>
      </c>
      <c r="I43" s="3" t="s">
        <v>529</v>
      </c>
      <c r="J43" s="3" t="s">
        <v>645</v>
      </c>
    </row>
    <row r="44" ht="12.75" customHeight="1" spans="2:10">
      <c r="B44" s="3" t="s">
        <v>646</v>
      </c>
      <c r="C44" s="3" t="s">
        <v>647</v>
      </c>
      <c r="D44" s="4" t="str">
        <f t="shared" si="1"/>
        <v>HsTVarChar</v>
      </c>
      <c r="E44" s="3" t="s">
        <v>648</v>
      </c>
      <c r="F44" s="3" t="s">
        <v>9</v>
      </c>
      <c r="G44" s="3" t="s">
        <v>601</v>
      </c>
      <c r="H44" s="3" t="s">
        <v>649</v>
      </c>
      <c r="I44" s="3" t="s">
        <v>501</v>
      </c>
      <c r="J44" s="3" t="s">
        <v>650</v>
      </c>
    </row>
    <row r="45" ht="12.75" customHeight="1" spans="2:10">
      <c r="B45" s="3" t="s">
        <v>651</v>
      </c>
      <c r="C45" s="3" t="s">
        <v>652</v>
      </c>
      <c r="D45" s="4" t="str">
        <f t="shared" si="1"/>
        <v>HsTVarChar</v>
      </c>
      <c r="E45" s="3" t="s">
        <v>568</v>
      </c>
      <c r="F45" s="3" t="s">
        <v>9</v>
      </c>
      <c r="G45" s="3" t="s">
        <v>601</v>
      </c>
      <c r="H45" s="3" t="s">
        <v>653</v>
      </c>
      <c r="I45" s="3" t="s">
        <v>501</v>
      </c>
      <c r="J45" s="3" t="s">
        <v>654</v>
      </c>
    </row>
    <row r="46" ht="12.75" customHeight="1" spans="2:10">
      <c r="B46" s="3" t="s">
        <v>655</v>
      </c>
      <c r="C46" s="3" t="s">
        <v>656</v>
      </c>
      <c r="D46" s="4" t="str">
        <f t="shared" si="1"/>
        <v>HsTVarChar</v>
      </c>
      <c r="E46" s="3" t="s">
        <v>575</v>
      </c>
      <c r="F46" s="3" t="s">
        <v>9</v>
      </c>
      <c r="G46" s="3" t="s">
        <v>601</v>
      </c>
      <c r="H46" s="3" t="s">
        <v>9</v>
      </c>
      <c r="I46" s="3" t="s">
        <v>501</v>
      </c>
      <c r="J46" s="3" t="s">
        <v>657</v>
      </c>
    </row>
    <row r="47" ht="12.75" customHeight="1" spans="2:10">
      <c r="B47" s="3" t="s">
        <v>658</v>
      </c>
      <c r="C47" s="3" t="s">
        <v>659</v>
      </c>
      <c r="D47" s="4" t="str">
        <f t="shared" si="1"/>
        <v>HsTVarChar</v>
      </c>
      <c r="E47" s="3" t="s">
        <v>559</v>
      </c>
      <c r="F47" s="3" t="s">
        <v>9</v>
      </c>
      <c r="G47" s="3" t="s">
        <v>601</v>
      </c>
      <c r="H47" s="3" t="s">
        <v>9</v>
      </c>
      <c r="I47" s="3" t="s">
        <v>529</v>
      </c>
      <c r="J47" s="3" t="s">
        <v>660</v>
      </c>
    </row>
    <row r="48" ht="12.75" customHeight="1" spans="2:10">
      <c r="B48" s="3" t="s">
        <v>661</v>
      </c>
      <c r="C48" s="3" t="s">
        <v>662</v>
      </c>
      <c r="D48" s="4" t="str">
        <f t="shared" si="1"/>
        <v>HsTVarChar</v>
      </c>
      <c r="E48" s="3" t="s">
        <v>663</v>
      </c>
      <c r="F48" s="3" t="s">
        <v>9</v>
      </c>
      <c r="G48" s="3" t="s">
        <v>601</v>
      </c>
      <c r="H48" s="3" t="s">
        <v>9</v>
      </c>
      <c r="I48" s="3" t="s">
        <v>501</v>
      </c>
      <c r="J48" s="3" t="s">
        <v>664</v>
      </c>
    </row>
    <row r="49" ht="12.75" customHeight="1" spans="2:10">
      <c r="B49" s="3" t="s">
        <v>665</v>
      </c>
      <c r="C49" s="3" t="s">
        <v>666</v>
      </c>
      <c r="D49" s="4" t="str">
        <f t="shared" si="1"/>
        <v>HsTVarChar</v>
      </c>
      <c r="E49" s="3" t="s">
        <v>641</v>
      </c>
      <c r="F49" s="3" t="s">
        <v>9</v>
      </c>
      <c r="G49" s="3" t="s">
        <v>601</v>
      </c>
      <c r="H49" s="3" t="s">
        <v>9</v>
      </c>
      <c r="I49" s="3" t="s">
        <v>501</v>
      </c>
      <c r="J49" s="3" t="s">
        <v>667</v>
      </c>
    </row>
    <row r="50" ht="12.75" customHeight="1" spans="2:10">
      <c r="B50" s="3" t="s">
        <v>668</v>
      </c>
      <c r="C50" s="3" t="s">
        <v>669</v>
      </c>
      <c r="D50" s="4" t="str">
        <f t="shared" si="1"/>
        <v>HsTVarChar</v>
      </c>
      <c r="E50" s="3" t="s">
        <v>567</v>
      </c>
      <c r="F50" s="3" t="s">
        <v>9</v>
      </c>
      <c r="G50" s="3" t="s">
        <v>601</v>
      </c>
      <c r="H50" s="3" t="s">
        <v>9</v>
      </c>
      <c r="I50" s="3" t="s">
        <v>529</v>
      </c>
      <c r="J50" s="3" t="s">
        <v>670</v>
      </c>
    </row>
    <row r="51" ht="12.75" customHeight="1" spans="2:10">
      <c r="B51" s="3" t="s">
        <v>671</v>
      </c>
      <c r="C51" s="3" t="s">
        <v>672</v>
      </c>
      <c r="D51" s="4" t="str">
        <f t="shared" si="1"/>
        <v>HsTVarChar</v>
      </c>
      <c r="E51" s="3" t="s">
        <v>673</v>
      </c>
      <c r="F51" s="3" t="s">
        <v>9</v>
      </c>
      <c r="G51" s="3" t="s">
        <v>601</v>
      </c>
      <c r="H51" s="3" t="s">
        <v>9</v>
      </c>
      <c r="I51" s="3" t="s">
        <v>529</v>
      </c>
      <c r="J51" s="3" t="s">
        <v>674</v>
      </c>
    </row>
    <row r="52" ht="12.75" customHeight="1" spans="2:10">
      <c r="B52" s="3" t="s">
        <v>675</v>
      </c>
      <c r="C52" s="3" t="s">
        <v>676</v>
      </c>
      <c r="D52" s="4" t="str">
        <f t="shared" si="1"/>
        <v>HsTVarChar</v>
      </c>
      <c r="E52" s="3" t="s">
        <v>673</v>
      </c>
      <c r="F52" s="3" t="s">
        <v>9</v>
      </c>
      <c r="G52" s="3" t="s">
        <v>601</v>
      </c>
      <c r="H52" s="3" t="s">
        <v>9</v>
      </c>
      <c r="I52" s="3" t="s">
        <v>501</v>
      </c>
      <c r="J52" s="3" t="s">
        <v>677</v>
      </c>
    </row>
    <row r="53" ht="12.75" customHeight="1" spans="2:10">
      <c r="B53" s="3" t="s">
        <v>678</v>
      </c>
      <c r="C53" s="3" t="s">
        <v>679</v>
      </c>
      <c r="D53" s="4" t="str">
        <f t="shared" si="1"/>
        <v>HsTVarChar</v>
      </c>
      <c r="E53" s="3" t="s">
        <v>673</v>
      </c>
      <c r="F53" s="3" t="s">
        <v>9</v>
      </c>
      <c r="G53" s="3" t="s">
        <v>601</v>
      </c>
      <c r="H53" s="3" t="s">
        <v>9</v>
      </c>
      <c r="I53" s="3" t="s">
        <v>501</v>
      </c>
      <c r="J53" s="3" t="s">
        <v>680</v>
      </c>
    </row>
    <row r="54" ht="12.75" customHeight="1" spans="2:10">
      <c r="B54" s="3" t="s">
        <v>681</v>
      </c>
      <c r="C54" s="3" t="s">
        <v>682</v>
      </c>
      <c r="D54" s="4" t="str">
        <f t="shared" si="1"/>
        <v>HsTVarChar</v>
      </c>
      <c r="E54" s="3" t="s">
        <v>673</v>
      </c>
      <c r="F54" s="3" t="s">
        <v>9</v>
      </c>
      <c r="G54" s="3" t="s">
        <v>601</v>
      </c>
      <c r="H54" s="3" t="s">
        <v>9</v>
      </c>
      <c r="I54" s="3" t="s">
        <v>529</v>
      </c>
      <c r="J54" s="3" t="s">
        <v>683</v>
      </c>
    </row>
    <row r="55" ht="12.75" customHeight="1" spans="2:10">
      <c r="B55" s="3" t="s">
        <v>684</v>
      </c>
      <c r="C55" s="3" t="s">
        <v>685</v>
      </c>
      <c r="D55" s="4" t="str">
        <f t="shared" si="1"/>
        <v>HsTVarChar</v>
      </c>
      <c r="E55" s="3" t="s">
        <v>673</v>
      </c>
      <c r="F55" s="3" t="s">
        <v>9</v>
      </c>
      <c r="G55" s="3" t="s">
        <v>601</v>
      </c>
      <c r="H55" s="3" t="s">
        <v>9</v>
      </c>
      <c r="I55" s="3" t="s">
        <v>501</v>
      </c>
      <c r="J55" s="3" t="s">
        <v>686</v>
      </c>
    </row>
    <row r="56" ht="12.75" customHeight="1" spans="2:10">
      <c r="B56" s="3" t="s">
        <v>687</v>
      </c>
      <c r="C56" s="3" t="s">
        <v>688</v>
      </c>
      <c r="D56" s="4" t="str">
        <f t="shared" si="1"/>
        <v>HsTVarChar</v>
      </c>
      <c r="E56" s="3" t="s">
        <v>673</v>
      </c>
      <c r="F56" s="3" t="s">
        <v>9</v>
      </c>
      <c r="G56" s="3" t="s">
        <v>601</v>
      </c>
      <c r="H56" s="3" t="s">
        <v>9</v>
      </c>
      <c r="I56" s="3" t="s">
        <v>501</v>
      </c>
      <c r="J56" s="3" t="s">
        <v>689</v>
      </c>
    </row>
    <row r="57" ht="12.75" customHeight="1" spans="2:10">
      <c r="B57" s="3" t="s">
        <v>690</v>
      </c>
      <c r="C57" s="3" t="s">
        <v>691</v>
      </c>
      <c r="D57" s="4" t="str">
        <f t="shared" si="1"/>
        <v>HsTVarChar</v>
      </c>
      <c r="E57" s="3" t="s">
        <v>673</v>
      </c>
      <c r="F57" s="3" t="s">
        <v>9</v>
      </c>
      <c r="G57" s="3" t="s">
        <v>601</v>
      </c>
      <c r="H57" s="3" t="s">
        <v>9</v>
      </c>
      <c r="I57" s="3" t="s">
        <v>501</v>
      </c>
      <c r="J57" s="3" t="s">
        <v>692</v>
      </c>
    </row>
    <row r="58" ht="12.75" customHeight="1" spans="2:10">
      <c r="B58" s="3" t="s">
        <v>693</v>
      </c>
      <c r="C58" s="3" t="s">
        <v>694</v>
      </c>
      <c r="D58" s="4" t="str">
        <f t="shared" si="1"/>
        <v>HsTVarChar</v>
      </c>
      <c r="E58" s="3" t="s">
        <v>695</v>
      </c>
      <c r="F58" s="3" t="s">
        <v>9</v>
      </c>
      <c r="G58" s="3" t="s">
        <v>601</v>
      </c>
      <c r="H58" s="3" t="s">
        <v>9</v>
      </c>
      <c r="I58" s="3" t="s">
        <v>501</v>
      </c>
      <c r="J58" s="3" t="s">
        <v>696</v>
      </c>
    </row>
    <row r="59" ht="12.75" customHeight="1" spans="2:10">
      <c r="B59" s="3" t="s">
        <v>697</v>
      </c>
      <c r="C59" s="3" t="s">
        <v>698</v>
      </c>
      <c r="D59" s="4" t="str">
        <f t="shared" si="1"/>
        <v>HsTVarChar</v>
      </c>
      <c r="E59" s="3" t="s">
        <v>699</v>
      </c>
      <c r="F59" s="3" t="s">
        <v>9</v>
      </c>
      <c r="G59" s="3" t="s">
        <v>601</v>
      </c>
      <c r="H59" s="3" t="s">
        <v>9</v>
      </c>
      <c r="I59" s="3" t="s">
        <v>501</v>
      </c>
      <c r="J59" s="3" t="s">
        <v>700</v>
      </c>
    </row>
    <row r="60" ht="12.75" customHeight="1" spans="2:10">
      <c r="B60" s="3" t="s">
        <v>701</v>
      </c>
      <c r="C60" s="3" t="s">
        <v>702</v>
      </c>
      <c r="D60" s="4" t="str">
        <f t="shared" si="1"/>
        <v>HsTVarChar</v>
      </c>
      <c r="E60" s="3" t="s">
        <v>699</v>
      </c>
      <c r="F60" s="3" t="s">
        <v>9</v>
      </c>
      <c r="G60" s="3" t="s">
        <v>601</v>
      </c>
      <c r="H60" s="3" t="s">
        <v>9</v>
      </c>
      <c r="I60" s="3" t="s">
        <v>501</v>
      </c>
      <c r="J60" s="3" t="s">
        <v>703</v>
      </c>
    </row>
    <row r="61" ht="12.75" customHeight="1" spans="2:10">
      <c r="B61" s="3" t="s">
        <v>704</v>
      </c>
      <c r="C61" s="3" t="s">
        <v>705</v>
      </c>
      <c r="D61" s="4" t="str">
        <f t="shared" si="1"/>
        <v>HsTVarChar</v>
      </c>
      <c r="E61" s="3" t="s">
        <v>699</v>
      </c>
      <c r="F61" s="3" t="s">
        <v>9</v>
      </c>
      <c r="G61" s="3" t="s">
        <v>601</v>
      </c>
      <c r="H61" s="3" t="s">
        <v>9</v>
      </c>
      <c r="I61" s="3" t="s">
        <v>501</v>
      </c>
      <c r="J61" s="3" t="s">
        <v>706</v>
      </c>
    </row>
    <row r="62" ht="12.75" customHeight="1" spans="2:10">
      <c r="B62" s="3" t="s">
        <v>707</v>
      </c>
      <c r="C62" s="3" t="s">
        <v>708</v>
      </c>
      <c r="D62" s="4" t="str">
        <f t="shared" si="1"/>
        <v>HsTVarChar</v>
      </c>
      <c r="E62" s="3" t="s">
        <v>699</v>
      </c>
      <c r="F62" s="3" t="s">
        <v>9</v>
      </c>
      <c r="G62" s="3" t="s">
        <v>601</v>
      </c>
      <c r="H62" s="3" t="s">
        <v>9</v>
      </c>
      <c r="I62" s="3" t="s">
        <v>501</v>
      </c>
      <c r="J62" s="3" t="s">
        <v>709</v>
      </c>
    </row>
    <row r="63" ht="12.75" customHeight="1" spans="2:10">
      <c r="B63" s="3" t="s">
        <v>710</v>
      </c>
      <c r="C63" s="3" t="s">
        <v>711</v>
      </c>
      <c r="D63" s="4" t="str">
        <f t="shared" si="1"/>
        <v>HsTVarChar</v>
      </c>
      <c r="E63" s="3" t="s">
        <v>699</v>
      </c>
      <c r="F63" s="3" t="s">
        <v>9</v>
      </c>
      <c r="G63" s="3" t="s">
        <v>601</v>
      </c>
      <c r="H63" s="3" t="s">
        <v>9</v>
      </c>
      <c r="I63" s="3" t="s">
        <v>501</v>
      </c>
      <c r="J63" s="3" t="s">
        <v>712</v>
      </c>
    </row>
    <row r="64" ht="12.75" customHeight="1" spans="2:10">
      <c r="B64" s="3" t="s">
        <v>713</v>
      </c>
      <c r="C64" s="3" t="s">
        <v>714</v>
      </c>
      <c r="D64" s="4" t="str">
        <f t="shared" si="1"/>
        <v>HsTVarChar</v>
      </c>
      <c r="E64" s="3" t="s">
        <v>699</v>
      </c>
      <c r="F64" s="3" t="s">
        <v>9</v>
      </c>
      <c r="G64" s="3" t="s">
        <v>601</v>
      </c>
      <c r="H64" s="3" t="s">
        <v>9</v>
      </c>
      <c r="I64" s="3" t="s">
        <v>501</v>
      </c>
      <c r="J64" s="3" t="s">
        <v>715</v>
      </c>
    </row>
    <row r="65" ht="12.75" customHeight="1" spans="2:10">
      <c r="B65" s="3" t="s">
        <v>716</v>
      </c>
      <c r="C65" s="3" t="s">
        <v>717</v>
      </c>
      <c r="D65" s="4" t="str">
        <f t="shared" si="1"/>
        <v>HsTVarChar</v>
      </c>
      <c r="E65" s="3" t="s">
        <v>699</v>
      </c>
      <c r="F65" s="3" t="s">
        <v>9</v>
      </c>
      <c r="G65" s="3" t="s">
        <v>601</v>
      </c>
      <c r="H65" s="3" t="s">
        <v>9</v>
      </c>
      <c r="I65" s="3" t="s">
        <v>501</v>
      </c>
      <c r="J65" s="3" t="s">
        <v>718</v>
      </c>
    </row>
    <row r="66" ht="12.75" customHeight="1" spans="2:10">
      <c r="B66" s="3" t="s">
        <v>719</v>
      </c>
      <c r="C66" s="3" t="s">
        <v>720</v>
      </c>
      <c r="D66" s="4" t="str">
        <f t="shared" si="1"/>
        <v>HsTVarChar</v>
      </c>
      <c r="E66" s="3" t="s">
        <v>699</v>
      </c>
      <c r="F66" s="3" t="s">
        <v>9</v>
      </c>
      <c r="G66" s="3" t="s">
        <v>601</v>
      </c>
      <c r="H66" s="3" t="s">
        <v>9</v>
      </c>
      <c r="I66" s="3" t="s">
        <v>501</v>
      </c>
      <c r="J66" s="3" t="s">
        <v>721</v>
      </c>
    </row>
    <row r="67" ht="12.75" customHeight="1" spans="2:10">
      <c r="B67" s="3" t="s">
        <v>722</v>
      </c>
      <c r="C67" s="3" t="s">
        <v>723</v>
      </c>
      <c r="D67" s="4" t="str">
        <f t="shared" si="1"/>
        <v>HsTVarChar</v>
      </c>
      <c r="E67" s="3" t="s">
        <v>724</v>
      </c>
      <c r="F67" s="3" t="s">
        <v>9</v>
      </c>
      <c r="G67" s="3" t="s">
        <v>601</v>
      </c>
      <c r="H67" s="3" t="s">
        <v>9</v>
      </c>
      <c r="I67" s="3" t="s">
        <v>501</v>
      </c>
      <c r="J67" s="3" t="s">
        <v>725</v>
      </c>
    </row>
    <row r="68" ht="12.75" customHeight="1" spans="2:10">
      <c r="B68" s="3" t="s">
        <v>726</v>
      </c>
      <c r="C68" s="3" t="s">
        <v>727</v>
      </c>
      <c r="D68" s="4" t="str">
        <f t="shared" si="1"/>
        <v>HsTVarChar</v>
      </c>
      <c r="E68" s="3" t="s">
        <v>728</v>
      </c>
      <c r="F68" s="3" t="s">
        <v>9</v>
      </c>
      <c r="G68" s="3" t="s">
        <v>601</v>
      </c>
      <c r="H68" s="3" t="s">
        <v>9</v>
      </c>
      <c r="I68" s="3" t="s">
        <v>501</v>
      </c>
      <c r="J68" s="3" t="s">
        <v>729</v>
      </c>
    </row>
    <row r="69" ht="12.75" customHeight="1" spans="2:10">
      <c r="B69" s="3" t="s">
        <v>730</v>
      </c>
      <c r="C69" s="3" t="s">
        <v>731</v>
      </c>
      <c r="D69" s="4" t="str">
        <f t="shared" si="1"/>
        <v>HsTVarChar</v>
      </c>
      <c r="E69" s="3" t="s">
        <v>732</v>
      </c>
      <c r="F69" s="3" t="s">
        <v>9</v>
      </c>
      <c r="G69" s="3" t="s">
        <v>601</v>
      </c>
      <c r="H69" s="3" t="s">
        <v>9</v>
      </c>
      <c r="I69" s="3" t="s">
        <v>529</v>
      </c>
      <c r="J69" s="3" t="s">
        <v>733</v>
      </c>
    </row>
    <row r="70" ht="12.75" customHeight="1" spans="2:10">
      <c r="B70" s="3" t="s">
        <v>734</v>
      </c>
      <c r="C70" s="3" t="s">
        <v>88</v>
      </c>
      <c r="D70" s="4" t="str">
        <f t="shared" si="1"/>
        <v>HsTVarChar</v>
      </c>
      <c r="E70" s="3" t="s">
        <v>732</v>
      </c>
      <c r="F70" s="3" t="s">
        <v>9</v>
      </c>
      <c r="G70" s="3" t="s">
        <v>601</v>
      </c>
      <c r="H70" s="3" t="s">
        <v>9</v>
      </c>
      <c r="I70" s="3" t="s">
        <v>501</v>
      </c>
      <c r="J70" s="3" t="s">
        <v>735</v>
      </c>
    </row>
    <row r="71" ht="12.75" customHeight="1" spans="2:10">
      <c r="B71" s="3" t="s">
        <v>736</v>
      </c>
      <c r="C71" s="3" t="s">
        <v>737</v>
      </c>
      <c r="D71" s="4" t="str">
        <f t="shared" si="1"/>
        <v>HsTVarChar</v>
      </c>
      <c r="E71" s="3" t="s">
        <v>732</v>
      </c>
      <c r="F71" s="3" t="s">
        <v>9</v>
      </c>
      <c r="G71" s="3" t="s">
        <v>601</v>
      </c>
      <c r="H71" s="3" t="s">
        <v>9</v>
      </c>
      <c r="I71" s="3" t="s">
        <v>501</v>
      </c>
      <c r="J71" s="3" t="s">
        <v>738</v>
      </c>
    </row>
    <row r="72" ht="12.75" customHeight="1" spans="2:10">
      <c r="B72" s="3" t="s">
        <v>739</v>
      </c>
      <c r="C72" s="3" t="s">
        <v>740</v>
      </c>
      <c r="D72" s="4" t="str">
        <f t="shared" si="1"/>
        <v>HsTVarChar</v>
      </c>
      <c r="E72" s="3" t="s">
        <v>741</v>
      </c>
      <c r="F72" s="3" t="s">
        <v>9</v>
      </c>
      <c r="G72" s="3" t="s">
        <v>601</v>
      </c>
      <c r="H72" s="3" t="s">
        <v>9</v>
      </c>
      <c r="I72" s="3" t="s">
        <v>501</v>
      </c>
      <c r="J72" s="3" t="s">
        <v>742</v>
      </c>
    </row>
    <row r="73" ht="12.75" customHeight="1" spans="2:10">
      <c r="B73" s="3" t="s">
        <v>743</v>
      </c>
      <c r="C73" s="3" t="s">
        <v>744</v>
      </c>
      <c r="D73" s="4" t="str">
        <f t="shared" si="1"/>
        <v>HsTVarChar</v>
      </c>
      <c r="E73" s="3" t="s">
        <v>745</v>
      </c>
      <c r="F73" s="3" t="s">
        <v>9</v>
      </c>
      <c r="G73" s="3" t="s">
        <v>601</v>
      </c>
      <c r="H73" s="3" t="s">
        <v>9</v>
      </c>
      <c r="I73" s="3" t="s">
        <v>501</v>
      </c>
      <c r="J73" s="3" t="s">
        <v>746</v>
      </c>
    </row>
    <row r="74" ht="12.75" customHeight="1" spans="2:10">
      <c r="B74" s="3" t="s">
        <v>747</v>
      </c>
      <c r="C74" s="3" t="s">
        <v>748</v>
      </c>
      <c r="D74" s="4" t="str">
        <f t="shared" si="1"/>
        <v>HsTVarChar</v>
      </c>
      <c r="E74" s="3" t="s">
        <v>745</v>
      </c>
      <c r="F74" s="3" t="s">
        <v>9</v>
      </c>
      <c r="G74" s="3" t="s">
        <v>601</v>
      </c>
      <c r="H74" s="3" t="s">
        <v>9</v>
      </c>
      <c r="I74" s="3" t="s">
        <v>501</v>
      </c>
      <c r="J74" s="3" t="s">
        <v>749</v>
      </c>
    </row>
    <row r="75" ht="12.75" customHeight="1" spans="2:10">
      <c r="B75" s="3" t="s">
        <v>750</v>
      </c>
      <c r="C75" s="3" t="s">
        <v>751</v>
      </c>
      <c r="D75" s="4" t="str">
        <f t="shared" si="1"/>
        <v>HsTVarChar</v>
      </c>
      <c r="E75" s="3" t="s">
        <v>745</v>
      </c>
      <c r="F75" s="3" t="s">
        <v>9</v>
      </c>
      <c r="G75" s="3" t="s">
        <v>601</v>
      </c>
      <c r="H75" s="3" t="s">
        <v>9</v>
      </c>
      <c r="I75" s="3" t="s">
        <v>501</v>
      </c>
      <c r="J75" s="3" t="s">
        <v>752</v>
      </c>
    </row>
    <row r="76" ht="12.75" customHeight="1" spans="2:10">
      <c r="B76" s="3" t="s">
        <v>753</v>
      </c>
      <c r="C76" s="3" t="s">
        <v>754</v>
      </c>
      <c r="D76" s="4" t="str">
        <f t="shared" si="1"/>
        <v>HsTVarChar</v>
      </c>
      <c r="E76" s="3" t="s">
        <v>755</v>
      </c>
      <c r="F76" s="3" t="s">
        <v>9</v>
      </c>
      <c r="G76" s="3" t="s">
        <v>601</v>
      </c>
      <c r="H76" s="3" t="s">
        <v>9</v>
      </c>
      <c r="I76" s="3" t="s">
        <v>501</v>
      </c>
      <c r="J76" s="3" t="s">
        <v>756</v>
      </c>
    </row>
    <row r="77" ht="12.75" customHeight="1" spans="2:10">
      <c r="B77" s="3" t="s">
        <v>757</v>
      </c>
      <c r="C77" s="3" t="s">
        <v>758</v>
      </c>
      <c r="D77" s="4" t="str">
        <f t="shared" si="1"/>
        <v>HsTVarChar</v>
      </c>
      <c r="E77" s="3" t="s">
        <v>759</v>
      </c>
      <c r="F77" s="3" t="s">
        <v>9</v>
      </c>
      <c r="G77" s="3" t="s">
        <v>601</v>
      </c>
      <c r="H77" s="3" t="s">
        <v>9</v>
      </c>
      <c r="I77" s="3" t="s">
        <v>501</v>
      </c>
      <c r="J77" s="3" t="s">
        <v>760</v>
      </c>
    </row>
    <row r="78" ht="12.75" customHeight="1" spans="2:10">
      <c r="B78" s="3" t="s">
        <v>761</v>
      </c>
      <c r="C78" s="3" t="s">
        <v>762</v>
      </c>
      <c r="D78" s="4" t="str">
        <f t="shared" si="1"/>
        <v>HsTVarChar</v>
      </c>
      <c r="E78" s="3" t="s">
        <v>759</v>
      </c>
      <c r="F78" s="3" t="s">
        <v>9</v>
      </c>
      <c r="G78" s="3" t="s">
        <v>601</v>
      </c>
      <c r="H78" s="3" t="s">
        <v>9</v>
      </c>
      <c r="I78" s="3" t="s">
        <v>501</v>
      </c>
      <c r="J78" s="3" t="s">
        <v>763</v>
      </c>
    </row>
    <row r="79" ht="12.75" customHeight="1" spans="2:10">
      <c r="B79" s="3" t="s">
        <v>764</v>
      </c>
      <c r="C79" s="3" t="s">
        <v>765</v>
      </c>
      <c r="D79" s="4" t="str">
        <f t="shared" si="1"/>
        <v>HsTVarChar</v>
      </c>
      <c r="E79" s="3" t="s">
        <v>766</v>
      </c>
      <c r="F79" s="3" t="s">
        <v>9</v>
      </c>
      <c r="G79" s="3" t="s">
        <v>601</v>
      </c>
      <c r="H79" s="3" t="s">
        <v>9</v>
      </c>
      <c r="I79" s="3" t="s">
        <v>501</v>
      </c>
      <c r="J79" s="3" t="s">
        <v>767</v>
      </c>
    </row>
    <row r="80" ht="12.75" customHeight="1" spans="2:10">
      <c r="B80" s="3" t="s">
        <v>768</v>
      </c>
      <c r="C80" s="3" t="s">
        <v>769</v>
      </c>
      <c r="D80" s="4" t="str">
        <f t="shared" si="1"/>
        <v>HsTVarChar</v>
      </c>
      <c r="E80" s="3" t="s">
        <v>766</v>
      </c>
      <c r="F80" s="3" t="s">
        <v>9</v>
      </c>
      <c r="G80" s="3" t="s">
        <v>601</v>
      </c>
      <c r="H80" s="3" t="s">
        <v>9</v>
      </c>
      <c r="I80" s="3" t="s">
        <v>529</v>
      </c>
      <c r="J80" s="3" t="s">
        <v>770</v>
      </c>
    </row>
    <row r="81" ht="12.75" customHeight="1" spans="2:10">
      <c r="B81" s="3" t="s">
        <v>771</v>
      </c>
      <c r="C81" s="3" t="s">
        <v>772</v>
      </c>
      <c r="D81" s="4" t="str">
        <f t="shared" si="1"/>
        <v>HsTVarChar</v>
      </c>
      <c r="E81" s="3" t="s">
        <v>773</v>
      </c>
      <c r="F81" s="3" t="s">
        <v>9</v>
      </c>
      <c r="G81" s="3" t="s">
        <v>601</v>
      </c>
      <c r="H81" s="3" t="s">
        <v>9</v>
      </c>
      <c r="I81" s="3" t="s">
        <v>501</v>
      </c>
      <c r="J81" s="3" t="s">
        <v>774</v>
      </c>
    </row>
    <row r="82" ht="12.75" customHeight="1" spans="2:10">
      <c r="B82" s="3" t="s">
        <v>775</v>
      </c>
      <c r="C82" s="3" t="s">
        <v>64</v>
      </c>
      <c r="D82" s="4" t="str">
        <f t="shared" si="1"/>
        <v>HsTVarChar</v>
      </c>
      <c r="E82" s="3" t="s">
        <v>773</v>
      </c>
      <c r="F82" s="3" t="s">
        <v>9</v>
      </c>
      <c r="G82" s="3" t="s">
        <v>601</v>
      </c>
      <c r="H82" s="3" t="s">
        <v>9</v>
      </c>
      <c r="I82" s="3" t="s">
        <v>501</v>
      </c>
      <c r="J82" s="3" t="s">
        <v>776</v>
      </c>
    </row>
    <row r="83" ht="12.75" customHeight="1" spans="2:10">
      <c r="B83" s="3" t="s">
        <v>777</v>
      </c>
      <c r="C83" s="3" t="s">
        <v>778</v>
      </c>
      <c r="D83" s="4" t="str">
        <f t="shared" si="1"/>
        <v>HsTVarChar</v>
      </c>
      <c r="E83" s="3" t="s">
        <v>779</v>
      </c>
      <c r="F83" s="3" t="s">
        <v>9</v>
      </c>
      <c r="G83" s="3" t="s">
        <v>601</v>
      </c>
      <c r="H83" s="3" t="s">
        <v>9</v>
      </c>
      <c r="I83" s="3" t="s">
        <v>501</v>
      </c>
      <c r="J83" s="3" t="s">
        <v>780</v>
      </c>
    </row>
    <row r="84" ht="12.75" customHeight="1" spans="2:10">
      <c r="B84" s="3" t="s">
        <v>781</v>
      </c>
      <c r="C84" s="3" t="s">
        <v>782</v>
      </c>
      <c r="D84" s="4" t="str">
        <f t="shared" si="1"/>
        <v>HsTVarChar</v>
      </c>
      <c r="E84" s="3" t="s">
        <v>783</v>
      </c>
      <c r="F84" s="3" t="s">
        <v>9</v>
      </c>
      <c r="G84" s="3" t="s">
        <v>601</v>
      </c>
      <c r="H84" s="3" t="s">
        <v>9</v>
      </c>
      <c r="I84" s="3" t="s">
        <v>501</v>
      </c>
      <c r="J84" s="3" t="s">
        <v>784</v>
      </c>
    </row>
    <row r="85" ht="12.75" customHeight="1" spans="2:10">
      <c r="B85" s="3" t="s">
        <v>785</v>
      </c>
      <c r="C85" s="3" t="s">
        <v>786</v>
      </c>
      <c r="D85" s="4" t="str">
        <f t="shared" si="1"/>
        <v>HsTVarChar</v>
      </c>
      <c r="E85" s="3" t="s">
        <v>787</v>
      </c>
      <c r="F85" s="3" t="s">
        <v>9</v>
      </c>
      <c r="G85" s="3" t="s">
        <v>601</v>
      </c>
      <c r="H85" s="3" t="s">
        <v>9</v>
      </c>
      <c r="I85" s="3" t="s">
        <v>501</v>
      </c>
      <c r="J85" s="3" t="s">
        <v>788</v>
      </c>
    </row>
    <row r="86" ht="12.75" customHeight="1" spans="2:10">
      <c r="B86" s="3" t="s">
        <v>789</v>
      </c>
      <c r="C86" s="3" t="s">
        <v>790</v>
      </c>
      <c r="D86" s="4" t="str">
        <f t="shared" si="1"/>
        <v>HsTVarChar</v>
      </c>
      <c r="E86" s="3" t="s">
        <v>791</v>
      </c>
      <c r="F86" s="3" t="s">
        <v>9</v>
      </c>
      <c r="G86" s="3" t="s">
        <v>601</v>
      </c>
      <c r="H86" s="3" t="s">
        <v>9</v>
      </c>
      <c r="I86" s="3" t="s">
        <v>529</v>
      </c>
      <c r="J86" s="3" t="s">
        <v>792</v>
      </c>
    </row>
    <row r="87" ht="12.75" customHeight="1" spans="2:10">
      <c r="B87" s="3" t="s">
        <v>793</v>
      </c>
      <c r="C87" s="3" t="s">
        <v>794</v>
      </c>
      <c r="D87" s="4" t="str">
        <f t="shared" si="1"/>
        <v>HsTVarChar</v>
      </c>
      <c r="E87" s="3" t="s">
        <v>795</v>
      </c>
      <c r="F87" s="3" t="s">
        <v>9</v>
      </c>
      <c r="G87" s="3" t="s">
        <v>601</v>
      </c>
      <c r="H87" s="3" t="s">
        <v>9</v>
      </c>
      <c r="I87" s="3" t="s">
        <v>529</v>
      </c>
      <c r="J87" s="3" t="s">
        <v>796</v>
      </c>
    </row>
    <row r="88" ht="12.75" customHeight="1" spans="2:10">
      <c r="B88" s="3" t="s">
        <v>797</v>
      </c>
      <c r="C88" s="3" t="s">
        <v>798</v>
      </c>
      <c r="D88" s="4" t="str">
        <f t="shared" si="1"/>
        <v>HsTVarChar</v>
      </c>
      <c r="E88" s="3" t="s">
        <v>799</v>
      </c>
      <c r="F88" s="3" t="s">
        <v>9</v>
      </c>
      <c r="G88" s="3" t="s">
        <v>601</v>
      </c>
      <c r="H88" s="3" t="s">
        <v>9</v>
      </c>
      <c r="I88" s="3" t="s">
        <v>529</v>
      </c>
      <c r="J88" s="3" t="s">
        <v>800</v>
      </c>
    </row>
    <row r="89" ht="12.75" customHeight="1" spans="2:10">
      <c r="B89" s="3" t="s">
        <v>801</v>
      </c>
      <c r="C89" s="3" t="s">
        <v>802</v>
      </c>
      <c r="D89" s="4" t="str">
        <f t="shared" si="1"/>
        <v>HsTVarChar</v>
      </c>
      <c r="E89" s="3" t="s">
        <v>803</v>
      </c>
      <c r="F89" s="3" t="s">
        <v>9</v>
      </c>
      <c r="G89" s="3" t="s">
        <v>601</v>
      </c>
      <c r="H89" s="3" t="s">
        <v>9</v>
      </c>
      <c r="I89" s="3" t="s">
        <v>501</v>
      </c>
      <c r="J89" s="3" t="s">
        <v>804</v>
      </c>
    </row>
    <row r="90" ht="12.75" customHeight="1" spans="2:10">
      <c r="B90" s="3" t="s">
        <v>805</v>
      </c>
      <c r="C90" s="3" t="s">
        <v>806</v>
      </c>
      <c r="D90" s="4" t="str">
        <f t="shared" si="1"/>
        <v>HsTVarChar</v>
      </c>
      <c r="E90" s="3" t="s">
        <v>627</v>
      </c>
      <c r="F90" s="3" t="s">
        <v>9</v>
      </c>
      <c r="G90" s="3" t="s">
        <v>601</v>
      </c>
      <c r="H90" s="3" t="s">
        <v>9</v>
      </c>
      <c r="I90" s="3" t="s">
        <v>529</v>
      </c>
      <c r="J90" s="3" t="s">
        <v>807</v>
      </c>
    </row>
    <row r="91" ht="12.75" customHeight="1" spans="2:10">
      <c r="B91" s="3" t="s">
        <v>808</v>
      </c>
      <c r="C91" s="3" t="s">
        <v>809</v>
      </c>
      <c r="D91" s="4" t="str">
        <f>HYPERLINK("#'标准数据类型'!A19","HsTClob")</f>
        <v>HsTClob</v>
      </c>
      <c r="E91" s="3" t="s">
        <v>9</v>
      </c>
      <c r="F91" s="3" t="s">
        <v>9</v>
      </c>
      <c r="G91" s="3" t="s">
        <v>810</v>
      </c>
      <c r="H91" s="3" t="s">
        <v>9</v>
      </c>
      <c r="I91" s="3" t="s">
        <v>501</v>
      </c>
      <c r="J91" s="3" t="s">
        <v>811</v>
      </c>
    </row>
    <row r="92" ht="12.75" customHeight="1" spans="2:10">
      <c r="B92" s="3" t="s">
        <v>812</v>
      </c>
      <c r="C92" s="3" t="s">
        <v>813</v>
      </c>
      <c r="D92" s="4" t="str">
        <f t="shared" ref="D92:D99" si="2">HYPERLINK("#'标准数据类型'!A12","HsTVarChar")</f>
        <v>HsTVarChar</v>
      </c>
      <c r="E92" s="3" t="s">
        <v>814</v>
      </c>
      <c r="F92" s="3" t="s">
        <v>9</v>
      </c>
      <c r="G92" s="3" t="s">
        <v>601</v>
      </c>
      <c r="H92" s="3" t="s">
        <v>9</v>
      </c>
      <c r="I92" s="3" t="s">
        <v>501</v>
      </c>
      <c r="J92" s="3" t="s">
        <v>815</v>
      </c>
    </row>
    <row r="93" ht="12.75" customHeight="1" spans="2:10">
      <c r="B93" s="3" t="s">
        <v>816</v>
      </c>
      <c r="C93" s="3" t="s">
        <v>817</v>
      </c>
      <c r="D93" s="4" t="str">
        <f t="shared" si="2"/>
        <v>HsTVarChar</v>
      </c>
      <c r="E93" s="3" t="s">
        <v>818</v>
      </c>
      <c r="F93" s="3" t="s">
        <v>9</v>
      </c>
      <c r="G93" s="3" t="s">
        <v>601</v>
      </c>
      <c r="H93" s="3" t="s">
        <v>9</v>
      </c>
      <c r="I93" s="3" t="s">
        <v>501</v>
      </c>
      <c r="J93" s="3" t="s">
        <v>819</v>
      </c>
    </row>
    <row r="94" ht="12.75" customHeight="1" spans="2:10">
      <c r="B94" s="3" t="s">
        <v>820</v>
      </c>
      <c r="C94" s="3" t="s">
        <v>821</v>
      </c>
      <c r="D94" s="4" t="str">
        <f t="shared" si="2"/>
        <v>HsTVarChar</v>
      </c>
      <c r="E94" s="3" t="s">
        <v>822</v>
      </c>
      <c r="F94" s="3" t="s">
        <v>9</v>
      </c>
      <c r="G94" s="3" t="s">
        <v>601</v>
      </c>
      <c r="H94" s="3" t="s">
        <v>9</v>
      </c>
      <c r="I94" s="3" t="s">
        <v>501</v>
      </c>
      <c r="J94" s="3" t="s">
        <v>823</v>
      </c>
    </row>
    <row r="95" ht="12.75" customHeight="1" spans="2:10">
      <c r="B95" s="3" t="s">
        <v>824</v>
      </c>
      <c r="C95" s="3" t="s">
        <v>825</v>
      </c>
      <c r="D95" s="4" t="str">
        <f t="shared" si="2"/>
        <v>HsTVarChar</v>
      </c>
      <c r="E95" s="3" t="s">
        <v>826</v>
      </c>
      <c r="F95" s="3" t="s">
        <v>9</v>
      </c>
      <c r="G95" s="3" t="s">
        <v>601</v>
      </c>
      <c r="H95" s="3" t="s">
        <v>9</v>
      </c>
      <c r="I95" s="3" t="s">
        <v>501</v>
      </c>
      <c r="J95" s="3" t="s">
        <v>827</v>
      </c>
    </row>
    <row r="96" ht="12.75" customHeight="1" spans="2:10">
      <c r="B96" s="3" t="s">
        <v>828</v>
      </c>
      <c r="C96" s="3" t="s">
        <v>829</v>
      </c>
      <c r="D96" s="4" t="str">
        <f t="shared" si="2"/>
        <v>HsTVarChar</v>
      </c>
      <c r="E96" s="3" t="s">
        <v>830</v>
      </c>
      <c r="F96" s="3" t="s">
        <v>9</v>
      </c>
      <c r="G96" s="3" t="s">
        <v>601</v>
      </c>
      <c r="H96" s="3" t="s">
        <v>9</v>
      </c>
      <c r="I96" s="3" t="s">
        <v>501</v>
      </c>
      <c r="J96" s="3" t="s">
        <v>831</v>
      </c>
    </row>
    <row r="97" ht="12.75" customHeight="1" spans="2:10">
      <c r="B97" s="3" t="s">
        <v>832</v>
      </c>
      <c r="C97" s="3" t="s">
        <v>833</v>
      </c>
      <c r="D97" s="4" t="str">
        <f t="shared" si="2"/>
        <v>HsTVarChar</v>
      </c>
      <c r="E97" s="3" t="s">
        <v>834</v>
      </c>
      <c r="F97" s="3" t="s">
        <v>9</v>
      </c>
      <c r="G97" s="3" t="s">
        <v>601</v>
      </c>
      <c r="H97" s="3" t="s">
        <v>9</v>
      </c>
      <c r="I97" s="3" t="s">
        <v>529</v>
      </c>
      <c r="J97" s="3" t="s">
        <v>835</v>
      </c>
    </row>
    <row r="98" ht="12.75" customHeight="1" spans="2:10">
      <c r="B98" s="3" t="s">
        <v>836</v>
      </c>
      <c r="C98" s="3" t="s">
        <v>837</v>
      </c>
      <c r="D98" s="4" t="str">
        <f t="shared" si="2"/>
        <v>HsTVarChar</v>
      </c>
      <c r="E98" s="3" t="s">
        <v>838</v>
      </c>
      <c r="F98" s="3" t="s">
        <v>9</v>
      </c>
      <c r="G98" s="3" t="s">
        <v>601</v>
      </c>
      <c r="H98" s="3" t="s">
        <v>9</v>
      </c>
      <c r="I98" s="3" t="s">
        <v>501</v>
      </c>
      <c r="J98" s="3" t="s">
        <v>839</v>
      </c>
    </row>
    <row r="99" ht="12.75" customHeight="1" spans="2:10">
      <c r="B99" s="3" t="s">
        <v>840</v>
      </c>
      <c r="C99" s="3" t="s">
        <v>720</v>
      </c>
      <c r="D99" s="4" t="str">
        <f t="shared" si="2"/>
        <v>HsTVarChar</v>
      </c>
      <c r="E99" s="3" t="s">
        <v>699</v>
      </c>
      <c r="F99" s="3" t="s">
        <v>9</v>
      </c>
      <c r="G99" s="3" t="s">
        <v>841</v>
      </c>
      <c r="H99" s="3" t="s">
        <v>9</v>
      </c>
      <c r="I99" s="3" t="s">
        <v>501</v>
      </c>
      <c r="J99" s="3" t="s">
        <v>842</v>
      </c>
    </row>
    <row r="100" ht="12.75" customHeight="1" spans="2:10">
      <c r="B100" s="3" t="s">
        <v>843</v>
      </c>
      <c r="C100" s="3" t="s">
        <v>844</v>
      </c>
      <c r="D100" s="4" t="str">
        <f>HYPERLINK("#'标准数据类型'!A13","HsTNVarChar")</f>
        <v>HsTNVarChar</v>
      </c>
      <c r="E100" s="3" t="s">
        <v>627</v>
      </c>
      <c r="F100" s="3" t="s">
        <v>9</v>
      </c>
      <c r="G100" s="3" t="s">
        <v>601</v>
      </c>
      <c r="H100" s="3" t="s">
        <v>845</v>
      </c>
      <c r="I100" s="3" t="s">
        <v>501</v>
      </c>
      <c r="J100" s="3" t="s">
        <v>846</v>
      </c>
    </row>
    <row r="101" ht="12.75" customHeight="1" spans="2:10">
      <c r="B101" s="3" t="s">
        <v>847</v>
      </c>
      <c r="C101" s="3" t="s">
        <v>848</v>
      </c>
      <c r="D101" s="4" t="str">
        <f>HYPERLINK("#'标准数据类型'!A20","HsTBlob")</f>
        <v>HsTBlob</v>
      </c>
      <c r="E101" s="3" t="s">
        <v>9</v>
      </c>
      <c r="F101" s="3" t="s">
        <v>9</v>
      </c>
      <c r="G101" s="3" t="s">
        <v>849</v>
      </c>
      <c r="H101" s="3" t="s">
        <v>850</v>
      </c>
      <c r="I101" s="3" t="s">
        <v>501</v>
      </c>
      <c r="J101" s="3" t="s">
        <v>851</v>
      </c>
    </row>
    <row r="102" ht="12.75" customHeight="1" spans="2:10">
      <c r="B102" s="3" t="s">
        <v>852</v>
      </c>
      <c r="C102" s="3" t="s">
        <v>853</v>
      </c>
      <c r="D102" s="4" t="str">
        <f>HYPERLINK("#'标准数据类型'!A9","HsTNumeric")</f>
        <v>HsTNumeric</v>
      </c>
      <c r="E102" s="3" t="s">
        <v>854</v>
      </c>
      <c r="F102" s="3" t="s">
        <v>627</v>
      </c>
      <c r="G102" s="3" t="s">
        <v>508</v>
      </c>
      <c r="H102" s="3" t="s">
        <v>9</v>
      </c>
      <c r="I102" s="3" t="s">
        <v>501</v>
      </c>
      <c r="J102" s="3" t="s">
        <v>855</v>
      </c>
    </row>
    <row r="103" ht="12.75" customHeight="1" spans="2:10">
      <c r="B103" s="3" t="s">
        <v>856</v>
      </c>
      <c r="C103" s="3" t="s">
        <v>552</v>
      </c>
      <c r="D103" s="4" t="str">
        <f>HYPERLINK("#'标准数据类型'!A9","HsTNumeric")</f>
        <v>HsTNumeric</v>
      </c>
      <c r="E103" s="3" t="s">
        <v>673</v>
      </c>
      <c r="F103" s="3" t="s">
        <v>528</v>
      </c>
      <c r="G103" s="3" t="s">
        <v>500</v>
      </c>
      <c r="H103" s="3" t="s">
        <v>9</v>
      </c>
      <c r="I103" s="3" t="s">
        <v>529</v>
      </c>
      <c r="J103" s="3" t="s">
        <v>857</v>
      </c>
    </row>
    <row r="104" ht="12.75" customHeight="1" spans="2:10">
      <c r="B104" s="3" t="s">
        <v>858</v>
      </c>
      <c r="C104" s="3" t="s">
        <v>552</v>
      </c>
      <c r="D104" s="4" t="str">
        <f>HYPERLINK("#'标准数据类型'!A9","HsTNumeric")</f>
        <v>HsTNumeric</v>
      </c>
      <c r="E104" s="3" t="s">
        <v>559</v>
      </c>
      <c r="F104" s="3" t="s">
        <v>528</v>
      </c>
      <c r="G104" s="3" t="s">
        <v>500</v>
      </c>
      <c r="H104" s="3" t="s">
        <v>9</v>
      </c>
      <c r="I104" s="3" t="s">
        <v>501</v>
      </c>
      <c r="J104" s="3" t="s">
        <v>859</v>
      </c>
    </row>
    <row r="105" ht="12.75" customHeight="1" spans="2:10">
      <c r="B105" s="3" t="s">
        <v>860</v>
      </c>
      <c r="C105" s="3" t="s">
        <v>590</v>
      </c>
      <c r="D105" s="4" t="str">
        <f>HYPERLINK("#'标准数据类型'!A9","HsTNumeric")</f>
        <v>HsTNumeric</v>
      </c>
      <c r="E105" s="3" t="s">
        <v>575</v>
      </c>
      <c r="F105" s="3" t="s">
        <v>517</v>
      </c>
      <c r="G105" s="3" t="s">
        <v>508</v>
      </c>
      <c r="H105" s="3" t="s">
        <v>9</v>
      </c>
      <c r="I105" s="3" t="s">
        <v>501</v>
      </c>
      <c r="J105" s="3" t="s">
        <v>577</v>
      </c>
    </row>
    <row r="106" ht="12.75" customHeight="1" spans="2:10">
      <c r="B106" s="3" t="s">
        <v>861</v>
      </c>
      <c r="C106" s="3" t="s">
        <v>862</v>
      </c>
      <c r="D106" s="4" t="str">
        <f>HYPERLINK("#'标准数据类型'!A12","HsTVarChar")</f>
        <v>HsTVarChar</v>
      </c>
      <c r="E106" s="3" t="s">
        <v>597</v>
      </c>
      <c r="F106" s="3" t="s">
        <v>9</v>
      </c>
      <c r="G106" s="3" t="s">
        <v>601</v>
      </c>
      <c r="H106" s="3" t="s">
        <v>653</v>
      </c>
      <c r="I106" s="3" t="s">
        <v>501</v>
      </c>
      <c r="J106" s="3" t="s">
        <v>654</v>
      </c>
    </row>
    <row r="107" ht="12.75" customHeight="1" spans="2:10">
      <c r="B107" s="3" t="s">
        <v>863</v>
      </c>
      <c r="C107" s="3" t="s">
        <v>489</v>
      </c>
      <c r="D107" s="4" t="str">
        <f>HYPERLINK("#'标准数据类型'!A21","STDdatetime")</f>
        <v>STDdatetime</v>
      </c>
      <c r="E107" s="3" t="s">
        <v>9</v>
      </c>
      <c r="F107" s="3" t="s">
        <v>9</v>
      </c>
      <c r="G107" s="3" t="s">
        <v>864</v>
      </c>
      <c r="H107" s="3" t="s">
        <v>489</v>
      </c>
      <c r="I107" s="3" t="s">
        <v>501</v>
      </c>
      <c r="J107" s="3" t="s">
        <v>865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数据表目录</vt:lpstr>
      <vt:lpstr>国金</vt:lpstr>
      <vt:lpstr>模块信息</vt:lpstr>
      <vt:lpstr>标准数据类型</vt:lpstr>
      <vt:lpstr>业务数据类型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44655</cp:lastModifiedBy>
  <dcterms:created xsi:type="dcterms:W3CDTF">2021-02-24T08:40:00Z</dcterms:created>
  <dcterms:modified xsi:type="dcterms:W3CDTF">2021-03-09T07:20:06Z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