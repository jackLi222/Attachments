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filterPrivacy="1" defaultThemeVersion="124226"/>
  <xr:revisionPtr revIDLastSave="0" documentId="13_ncr:1_{4A4D54C8-CA8F-4540-9B35-61FA5C495AFB}" xr6:coauthVersionLast="47" xr6:coauthVersionMax="47" xr10:uidLastSave="{00000000-0000-0000-0000-000000000000}"/>
  <bookViews>
    <workbookView xWindow="-110" yWindow="-110" windowWidth="19420" windowHeight="10300" xr2:uid="{00000000-000D-0000-FFFF-FFFF00000000}"/>
  </bookViews>
  <sheets>
    <sheet name="1" sheetId="2" r:id="rId1"/>
  </sheets>
  <definedNames>
    <definedName name="_xlnm.Print_Area" localSheetId="0">'1'!$A:$N</definedName>
  </definedNames>
  <calcPr calcId="191029"/>
</workbook>
</file>

<file path=xl/calcChain.xml><?xml version="1.0" encoding="utf-8"?>
<calcChain xmlns="http://schemas.openxmlformats.org/spreadsheetml/2006/main">
  <c r="L39" i="2" l="1"/>
</calcChain>
</file>

<file path=xl/sharedStrings.xml><?xml version="1.0" encoding="utf-8"?>
<sst xmlns="http://schemas.openxmlformats.org/spreadsheetml/2006/main" count="195" uniqueCount="141">
  <si>
    <t>权重</t>
    <phoneticPr fontId="1" type="noConversion"/>
  </si>
  <si>
    <t>序号</t>
    <phoneticPr fontId="1" type="noConversion"/>
  </si>
  <si>
    <t>实际完成情况</t>
    <phoneticPr fontId="1" type="noConversion"/>
  </si>
  <si>
    <t>自评分     （百分制）</t>
    <phoneticPr fontId="2" type="noConversion"/>
  </si>
  <si>
    <t>上级打分      （百分制）</t>
    <phoneticPr fontId="2" type="noConversion"/>
  </si>
  <si>
    <t>重点工作任务评分合计</t>
    <phoneticPr fontId="1" type="noConversion"/>
  </si>
  <si>
    <t>部门负责人签字：</t>
    <phoneticPr fontId="1" type="noConversion"/>
  </si>
  <si>
    <t>总监（如有）签字：</t>
    <phoneticPr fontId="1" type="noConversion"/>
  </si>
  <si>
    <t>部门负责人评分（见质量）
部门负责人根据“判定标准”、“工作计划”完成情况，结合实际工作量、工作效率等表现给予质量评定</t>
    <phoneticPr fontId="1" type="noConversion"/>
  </si>
  <si>
    <t>权重</t>
    <phoneticPr fontId="1" type="noConversion"/>
  </si>
  <si>
    <t>上半年</t>
    <phoneticPr fontId="1" type="noConversion"/>
  </si>
  <si>
    <t>下半年</t>
    <phoneticPr fontId="1" type="noConversion"/>
  </si>
  <si>
    <t>完成比例</t>
    <phoneticPr fontId="1" type="noConversion"/>
  </si>
  <si>
    <t>现任职务：</t>
    <phoneticPr fontId="1" type="noConversion"/>
  </si>
  <si>
    <t>序号</t>
    <phoneticPr fontId="1" type="noConversion"/>
  </si>
  <si>
    <t>判定标准及交付物</t>
    <phoneticPr fontId="1" type="noConversion"/>
  </si>
  <si>
    <r>
      <t xml:space="preserve">任务层级
</t>
    </r>
    <r>
      <rPr>
        <b/>
        <sz val="20"/>
        <color rgb="FFFF0000"/>
        <rFont val="等线"/>
        <family val="3"/>
        <charset val="134"/>
      </rPr>
      <t>对应部门重点工作任务中“任务层级”</t>
    </r>
    <phoneticPr fontId="1" type="noConversion"/>
  </si>
  <si>
    <r>
      <t xml:space="preserve">一级指标
</t>
    </r>
    <r>
      <rPr>
        <b/>
        <sz val="20"/>
        <color rgb="FFFF0000"/>
        <rFont val="等线"/>
        <family val="3"/>
        <charset val="134"/>
      </rPr>
      <t>对应部门重点工作任务中“一级指标”</t>
    </r>
    <phoneticPr fontId="1" type="noConversion"/>
  </si>
  <si>
    <r>
      <t xml:space="preserve">考核指标
</t>
    </r>
    <r>
      <rPr>
        <b/>
        <sz val="20"/>
        <color rgb="FFFF0000"/>
        <rFont val="等线"/>
        <family val="3"/>
        <charset val="134"/>
      </rPr>
      <t>对应部门重点工作任务中“重点工作内容”</t>
    </r>
    <phoneticPr fontId="1" type="noConversion"/>
  </si>
  <si>
    <r>
      <t xml:space="preserve">绩效实现目标
</t>
    </r>
    <r>
      <rPr>
        <b/>
        <sz val="20"/>
        <color rgb="FFFF0000"/>
        <rFont val="等线"/>
        <family val="3"/>
        <charset val="134"/>
      </rPr>
      <t>对应部门重点工作任务中“重点工作实现目标”</t>
    </r>
    <phoneticPr fontId="1" type="noConversion"/>
  </si>
  <si>
    <r>
      <t xml:space="preserve">任务层级
</t>
    </r>
    <r>
      <rPr>
        <b/>
        <sz val="20"/>
        <color rgb="FFFF0000"/>
        <rFont val="等线"/>
        <family val="3"/>
        <charset val="134"/>
      </rPr>
      <t>对应部门重点工作任务中“任务层级</t>
    </r>
    <r>
      <rPr>
        <b/>
        <sz val="20"/>
        <rFont val="等线"/>
        <family val="3"/>
        <charset val="134"/>
      </rPr>
      <t xml:space="preserve">
</t>
    </r>
    <phoneticPr fontId="1" type="noConversion"/>
  </si>
  <si>
    <r>
      <t xml:space="preserve">负责人员（见人）
</t>
    </r>
    <r>
      <rPr>
        <b/>
        <sz val="20"/>
        <color rgb="FFFF0000"/>
        <rFont val="等线"/>
        <family val="3"/>
        <charset val="134"/>
      </rPr>
      <t>按责任轻重依次排列</t>
    </r>
    <phoneticPr fontId="1" type="noConversion"/>
  </si>
  <si>
    <r>
      <t xml:space="preserve">实际完成情况
</t>
    </r>
    <r>
      <rPr>
        <b/>
        <sz val="20"/>
        <color rgb="FFFF0000"/>
        <rFont val="等线"/>
        <family val="3"/>
        <charset val="134"/>
      </rPr>
      <t>1、是否达成“判定标准”
2、是否按工作计划完成各阶段工作（需详细说明）</t>
    </r>
    <phoneticPr fontId="1" type="noConversion"/>
  </si>
  <si>
    <t xml:space="preserve">公司级重点工作 </t>
    <phoneticPr fontId="1" type="noConversion"/>
  </si>
  <si>
    <t>部门级重点工作</t>
    <phoneticPr fontId="1" type="noConversion"/>
  </si>
  <si>
    <t>2024年员工重点工作任务指标表</t>
    <phoneticPr fontId="1" type="noConversion"/>
  </si>
  <si>
    <t>风险指标</t>
    <phoneticPr fontId="1" type="noConversion"/>
  </si>
  <si>
    <r>
      <t xml:space="preserve">重点工作任务（见事）
</t>
    </r>
    <r>
      <rPr>
        <b/>
        <sz val="20"/>
        <color rgb="FFFF0000"/>
        <rFont val="等线"/>
        <family val="3"/>
        <charset val="134"/>
      </rPr>
      <t>对应部门重点工作任务中“重点工作总体目标”</t>
    </r>
    <phoneticPr fontId="1" type="noConversion"/>
  </si>
  <si>
    <t>重点工作任务实现目标</t>
    <phoneticPr fontId="1" type="noConversion"/>
  </si>
  <si>
    <r>
      <t xml:space="preserve">重点工作考核目标及认定标准（见成果）
</t>
    </r>
    <r>
      <rPr>
        <b/>
        <sz val="20"/>
        <color rgb="FFFF0000"/>
        <rFont val="等线"/>
        <family val="3"/>
        <charset val="134"/>
      </rPr>
      <t>对应部门重点工作任务中“重点工作内容”</t>
    </r>
    <phoneticPr fontId="1" type="noConversion"/>
  </si>
  <si>
    <r>
      <t xml:space="preserve">重点工作任务计划（见进展）
</t>
    </r>
    <r>
      <rPr>
        <b/>
        <sz val="20"/>
        <color rgb="FFFF0000"/>
        <rFont val="等线"/>
        <family val="3"/>
        <charset val="134"/>
      </rPr>
      <t>根据部门督办情况，按工作分工对承担人员进行进度考核
时间延迟3月内扣减该项考评权重的5%，3（含）-6个月扣减权重的10%，6（含）个月以上扣减20%计入年终考评</t>
    </r>
    <phoneticPr fontId="1" type="noConversion"/>
  </si>
  <si>
    <t>员工个人签字：</t>
    <phoneticPr fontId="1" type="noConversion"/>
  </si>
  <si>
    <t xml:space="preserve">姓名:  李健壮                                                                   </t>
    <phoneticPr fontId="1" type="noConversion"/>
  </si>
  <si>
    <t xml:space="preserve">  部门： 技术开发部                                      </t>
    <phoneticPr fontId="1" type="noConversion"/>
  </si>
  <si>
    <t>业务主管</t>
    <phoneticPr fontId="1" type="noConversion"/>
  </si>
  <si>
    <t>入职时间： 2020.10.19</t>
    <phoneticPr fontId="1" type="noConversion"/>
  </si>
  <si>
    <t>文档管理服务</t>
  </si>
  <si>
    <t>王海颖、马凯、周明我、王雷、王舒宁、王维彤、李健壮、雷琪、刘佳昱、刘碧云、黄篪、赵浩翔、白晋虎、刘春博、梁先锋、张卫国、周留凯、王亚婧、郑重、曾阳</t>
    <phoneticPr fontId="1" type="noConversion"/>
  </si>
  <si>
    <t>建设为用户提供以文件交互，文件管理为基本服务内容的功能</t>
    <phoneticPr fontId="1" type="noConversion"/>
  </si>
  <si>
    <t>采购相关材料</t>
    <phoneticPr fontId="1" type="noConversion"/>
  </si>
  <si>
    <t>6月底完成项目立项</t>
    <phoneticPr fontId="1" type="noConversion"/>
  </si>
  <si>
    <t>一阶段项目12月完成业务测试，达到上线标准；
二阶段项目完成立项。</t>
    <phoneticPr fontId="1" type="noConversion"/>
  </si>
  <si>
    <t>王海颖、马凯、周明我、王雷、王维彤、李健壮、刘佳昱、刘碧云、邱思敏、梁燕飞、李龙泉、黄篪、张卫国、周留凯</t>
    <phoneticPr fontId="1" type="noConversion"/>
  </si>
  <si>
    <t>即时通讯能力建设</t>
    <phoneticPr fontId="1" type="noConversion"/>
  </si>
  <si>
    <t>为发行主流程拓展信息服务提供即时通讯能力建设，支持用户使用北金所自建IM完成线上沟通及组团、询价等业务操作，包括PC端和移动端。</t>
    <phoneticPr fontId="1" type="noConversion"/>
  </si>
  <si>
    <t>上线评审OA流程</t>
    <phoneticPr fontId="1" type="noConversion"/>
  </si>
  <si>
    <t>6月完成立项，推动采购工作</t>
    <phoneticPr fontId="1" type="noConversion"/>
  </si>
  <si>
    <t>12月底按照需求完成版本一的技术测试工作</t>
    <phoneticPr fontId="1" type="noConversion"/>
  </si>
  <si>
    <t>CFAE平台技术支持</t>
    <phoneticPr fontId="1" type="noConversion"/>
  </si>
  <si>
    <t>王海颖、马凯，邝文清、卢莹、王雷、贺莎莎、李健壮、王舒宁、雷琪，李游、梁燕飞、李龙泉、黄篪、李勇辉、徐遣、赵浩翔、周留凯、刘澍、张卫国、郑重</t>
    <phoneticPr fontId="1" type="noConversion"/>
  </si>
  <si>
    <t>签订订单</t>
    <phoneticPr fontId="1" type="noConversion"/>
  </si>
  <si>
    <t>开展CFAE生产技术支持工作，工作内容包括但不限于根据业务部门、系统运行部门的要求，对CFAE平台生产系统的运行过程中反馈的各类功能、非功能、信息安全等方面问题进行技术支持和解决。</t>
    <phoneticPr fontId="1" type="noConversion"/>
  </si>
  <si>
    <t>根据业务要求，协助完成CFAE平台各系统维护、部署工作</t>
    <phoneticPr fontId="1" type="noConversion"/>
  </si>
  <si>
    <t>业务连续性风险</t>
  </si>
  <si>
    <t>全员</t>
  </si>
  <si>
    <t>避免出现由于软件崩溃、硬件故障或外部事件导致公司重要业务中断，或未能针对业务中断事件建立有效的应急响应、恢复机制和管理能力框架，引起的阻碍重要业务持续运营的风险。</t>
  </si>
  <si>
    <t>如出现相关情况，视情节严重程度扣0.5-2分</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</si>
  <si>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</si>
  <si>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</si>
  <si>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</si>
  <si>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</si>
  <si>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</si>
  <si>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</si>
  <si>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</si>
  <si>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</si>
  <si>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</si>
  <si>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</si>
  <si>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信息系统风险</t>
  </si>
  <si>
    <t>避免出现由于信息系统设计漏洞或缺陷、信息系统性能不完善、信息系统对业务或管理支持程度不足、信息系统开发不当等信息系统设计或维护不完善的问题引起的风险。</t>
  </si>
  <si>
    <t>及时修复安全漏洞或缺陷、避免出现信息系统性能不完善、信息系统对业务或管理支持程度不足、信息系统开发不当等信息系统设计或维护不完善的问题引起的风险。</t>
  </si>
  <si>
    <t>保底：8.8万亿；达标：8.92万亿
全年完成市场占有率100%</t>
  </si>
  <si>
    <t>保底：40只，3000亿；达标：60只，4000亿</t>
  </si>
  <si>
    <t>全年实现金融债簿记发行参与机构（主承销商、发行人）累计达到50家</t>
  </si>
  <si>
    <t>全年完成金融债簿记发行市场占有率达15%。</t>
  </si>
  <si>
    <t>保底：50只，110亿；达标：70只，160亿</t>
  </si>
  <si>
    <t>开展CRMW线上簿记发行服务市场培育，提升北金所服务CRMW发行服务水平。系统上线后完成CRMW簿记创设市场占有率达70%。</t>
  </si>
  <si>
    <t>保底：7000笔；达标：10000笔</t>
  </si>
  <si>
    <t>持续推动债务融资工具线上化分销业务市场建设，助力北金所债券承分销一体化建设。在参与机构家数方面，实现簿记系统完成线上化分销业务机构累计达到150家</t>
  </si>
  <si>
    <t>持续推动债务融资工具线上化分销业务市场建设，助力北金所债券承分销一体化建设。在投资人参与机构家数方面，实现簿记系统完成线上化分销业务机构投资人达到100家</t>
  </si>
  <si>
    <t>持续推动债务融资工具线上化分销业务市场建设，助力北金所债券承分销一体化建设。活跃参与人开展业务积极性，活跃市场，百单以上开展业务机构达30家</t>
  </si>
  <si>
    <t>持续推动债务融资工具线上化分销业务市场建设，助力北金所债券承分销一体化建设。在市场占有率方面，分销市场占有率年底达到20%</t>
  </si>
  <si>
    <t>保底：180亿，达标：200亿</t>
  </si>
  <si>
    <t>非金交易业务交易笔数：300笔；到期违约债券转让公开市场交易笔数市占率不低于50%</t>
  </si>
  <si>
    <t>1.【债数通服务】 服务70%的主承销商，即60家，覆盖70%的团承销商，即47家。访问量8000人次以上
2.【即时通讯服务】服务70%的主承销商，即60家，覆盖70%的团承销商，即47家。</t>
  </si>
  <si>
    <t>1. 【开放接口服务】活跃主承销商，即年度业务100笔以上的38家。全年新增活跃主承销商12家，累计服务活跃主承销商32家，即覆盖85%以上的活跃主承销商。活跃团承销商，即年度业务100笔以上的23家。全年新增活跃团承销商5家，累计服务活跃团承销商10家，即覆盖43%的活跃团承销商。完成第三方信息服务商接入2家
2.【智能文档服务】活跃主承销商，即年度业务100笔以上的38家。全年新增活跃主承销商7家，累计服务活跃主承销商26家，即覆盖70%以上的活跃主承销商。服务使用频率高即全年处理100篇以上机构4家，使用频率中即全年处理20篇以上机构8家，全年处理文档1100篇以上</t>
  </si>
  <si>
    <t>【北金所移动端】年底达到注册用户156000人、全年APP总点击量超过55万次。</t>
  </si>
  <si>
    <t>建立健全工作机制，落实“一岗双责”和廉政教育计划，落实全面从严治党检查考核要求并认真改进工作的情况</t>
  </si>
  <si>
    <t>按照公司相关制度推进系统建设工作，全面从严治党和党风廉政建设有关责任有效落实，无违规违纪事件发生</t>
  </si>
  <si>
    <t>包括但不限于政治思想建设、组织建设、作风建设等党建工作考核、其他党建工作出勤率、党支部对所辖部门的其他党建工作评价结果</t>
  </si>
  <si>
    <t>在党支部的领导下，认真参与各项党建学习工作，及时汇报思想动态，积极参加党支部的各项活动，无缺勤</t>
  </si>
  <si>
    <t>推动落实公司纪检工作情况</t>
  </si>
  <si>
    <t>严格落实公司纪检工作情况</t>
  </si>
  <si>
    <t>把握意识形态工作的正确方向，包括按照意识形态责任制要求进行意识形态工作管理，把握正确方向导向情况，巩固壮大主流文化的情况，意识形态宣传阵地管理情况，网络舆论安全管理情况的评价结果</t>
  </si>
  <si>
    <t>自觉把握意识形态工作的正确方向，按照意识形态责任制要求进行意识形态工作管理，把握正确方向，严格控制自身自媒体使用</t>
  </si>
  <si>
    <t>保密安全管理、办公区安全管理执行情况、信息安全管控</t>
  </si>
  <si>
    <t>执行保密安全管理、办公区安全管理执行情况、信息安全管控</t>
  </si>
  <si>
    <t>审计合规管理、风险控制管理、工作纪律及疫情防控管理</t>
  </si>
  <si>
    <t>严格遵守审计合规管理、风险控制管理、工作纪律及疫情防控管理</t>
  </si>
  <si>
    <t>档案管理情况</t>
  </si>
  <si>
    <t>严格遵守档案管理相关要求</t>
  </si>
  <si>
    <t>公司党委会总裁办公会交代重要事项的完成情况</t>
  </si>
  <si>
    <t>严格按照党委会总裁办公会决议完成各类事项</t>
  </si>
  <si>
    <t>预算执行准确性、预算调整及时性</t>
  </si>
  <si>
    <t>严格按照预算执行</t>
  </si>
  <si>
    <t>发行业务</t>
  </si>
  <si>
    <t>1.债务融资工具</t>
  </si>
  <si>
    <t>2、金融债簿记发行</t>
  </si>
  <si>
    <t>3、CRMW线上簿记发行</t>
  </si>
  <si>
    <t>4、债务融资工具线上化分销业务</t>
  </si>
  <si>
    <t>交易业务</t>
  </si>
  <si>
    <t>1.交易业务（涵盖非金、到期违约、现金要约收购、衍生品等交易）</t>
  </si>
  <si>
    <t>信息服务</t>
  </si>
  <si>
    <t>1.信息服务终端产品</t>
  </si>
  <si>
    <t>2.信息服务接口产品</t>
  </si>
  <si>
    <t>3.信息服务互动渠道</t>
  </si>
  <si>
    <t>党建、意识形态及内控合规等各项内部管理指标</t>
  </si>
  <si>
    <t>全面从严治党“两个责任”清单落实情况</t>
  </si>
  <si>
    <t>意识形态责任制落实情况</t>
  </si>
  <si>
    <t>安全合规管理</t>
  </si>
  <si>
    <t>内控合规管理</t>
  </si>
  <si>
    <t>档案管理</t>
  </si>
  <si>
    <t>党委会总裁办公会决议完成情况</t>
  </si>
  <si>
    <t>费用预算执行情况</t>
  </si>
  <si>
    <t>达成判定标准；
2024年6月一阶段项目通过科委会预审、上报科委会议题，2024年7月3日通过审议；
2024年11月28日一阶段项目完成业务测试，12月6日完成上线评审，达到上线标准；
2024年10月18日二阶段项目通过科委会立项审议。</t>
    <phoneticPr fontId="1" type="noConversion"/>
  </si>
  <si>
    <t>可按计划达成判定标准；
2024年4月28日通过科委会立项审议；
2024年10月15日完成采购；
2024年12月10日完成产品标准功能厂商测试，预计可按照要求于12月底完成产品标准功能技术测试。</t>
    <phoneticPr fontId="1" type="noConversion"/>
  </si>
  <si>
    <t>达成判定标准；
完成信息记载及资金划转系统的日常运营、运维支持工作，11次日常业务方案处理工作，保障系统顺利运行</t>
    <phoneticPr fontId="1" type="noConversion"/>
  </si>
  <si>
    <t>达成判定标准；
未出现业务连续性风险。</t>
    <phoneticPr fontId="1" type="noConversion"/>
  </si>
  <si>
    <t>达成判定标准；
按照公司规定完成外包供应商管理，保障开发语言统一、敏感信息管理、开发质量等。</t>
    <phoneticPr fontId="1" type="noConversion"/>
  </si>
  <si>
    <t>达成判定标准；
未出现数据违规操作或泄露。</t>
    <phoneticPr fontId="1" type="noConversion"/>
  </si>
  <si>
    <t>达成判定标准；
严格遵循公司规定，未出现招采过程中影响招采公平性，合同履约过程中出现风险或违约情况等风险。</t>
    <phoneticPr fontId="1" type="noConversion"/>
  </si>
  <si>
    <t>达成判定标准；
按照公司统一部署开展工作。</t>
    <phoneticPr fontId="1" type="noConversion"/>
  </si>
  <si>
    <t>达成判定标准；
“两个责任”有效落实，无违规违纪事件发生。</t>
    <phoneticPr fontId="1" type="noConversion"/>
  </si>
  <si>
    <t>达成判定标准；
党建工作有效落实。</t>
  </si>
  <si>
    <t>达成判定标准；
公司纪检有效落实。</t>
    <phoneticPr fontId="1" type="noConversion"/>
  </si>
  <si>
    <t>达成判定标准；
把握意识形态工作的正确方向，按照意识形态责任制要求进行工作管理，遵守北金所舆情管理相关规定。</t>
    <phoneticPr fontId="1" type="noConversion"/>
  </si>
  <si>
    <t>达成判定标准；
按严格参照规章制度，无泄密情况。</t>
    <phoneticPr fontId="1" type="noConversion"/>
  </si>
  <si>
    <t>达成判定标准；
按严格参照规章制度，无违规违纪现象。</t>
    <phoneticPr fontId="1" type="noConversion"/>
  </si>
  <si>
    <t>达成判定标准；
按时完成项目归档工作。</t>
    <phoneticPr fontId="1" type="noConversion"/>
  </si>
  <si>
    <t>达成判定标准；
及时推进完成公司各项重要事项。</t>
    <phoneticPr fontId="1" type="noConversion"/>
  </si>
  <si>
    <t>达成判定标准；
预算执行准确，预算调整及时。</t>
    <phoneticPr fontId="1" type="noConversion"/>
  </si>
  <si>
    <t>达成判定标准；
按照公司规定及时完成修复安全漏洞或缺陷，未出现相关风险。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</si>
</sst>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color theme="1"/>
      <name val="宋体"/>
      <family val="2"/>
      <scheme val="minor"/>
    </font>
    <font>
      <sz val="9"/>
      <name val="宋体"/>
      <family val="3"/>
      <charset val="134"/>
      <scheme val="minor"/>
    </font>
    <font>
      <sz val="9"/>
      <name val="宋体"/>
      <family val="3"/>
      <charset val="134"/>
    </font>
    <font>
      <sz val="11"/>
      <color theme="1"/>
      <name val="宋体"/>
      <family val="2"/>
      <scheme val="minor"/>
    </font>
    <font>
      <sz val="11"/>
      <color theme="1"/>
      <name val="等线"/>
      <family val="3"/>
      <charset val="134"/>
    </font>
    <font>
      <b/>
      <sz val="20"/>
      <name val="微软雅黑"/>
      <family val="2"/>
      <charset val="134"/>
    </font>
    <font>
      <b/>
      <sz val="20"/>
      <color theme="1"/>
      <name val="微软雅黑"/>
      <family val="2"/>
      <charset val="134"/>
    </font>
    <font>
      <b/>
      <sz val="20"/>
      <color theme="1"/>
      <name val="等线"/>
      <family val="3"/>
      <charset val="134"/>
    </font>
    <font>
      <b/>
      <sz val="20"/>
      <name val="等线"/>
      <family val="3"/>
      <charset val="134"/>
    </font>
    <font>
      <b/>
      <sz val="20"/>
      <color rgb="FFFF0000"/>
      <name val="等线"/>
      <family val="3"/>
      <charset val="134"/>
    </font>
    <font>
      <sz val="20"/>
      <color theme="1"/>
      <name val="等线"/>
      <family val="3"/>
      <charset val="134"/>
    </font>
    <font>
      <b/>
      <sz val="14"/>
      <color theme="1"/>
      <name val="等线"/>
      <family val="3"/>
      <charset val="134"/>
    </font>
    <font>
      <sz val="14"/>
      <color theme="1"/>
      <name val="等线"/>
      <family val="3"/>
      <charset val="134"/>
    </font>
    <font>
      <sz val="20"/>
      <color theme="1"/>
      <name val="微软雅黑"/>
      <family val="2"/>
      <charset val="134"/>
    </font>
    <font>
      <sz val="20"/>
      <name val="微软雅黑"/>
      <family val="2"/>
      <charset val="134"/>
    </font>
  </fonts>
  <fills count="4">
    <fill>
      <patternFill patternType="none"/>
    </fill>
    <fill>
      <patternFill patternType="gray125"/>
    </fill>
    <fill>
      <patternFill patternType="solid">
        <fgColor theme="8" tint="0.79998168889431442"/>
        <bgColor indexed="64"/>
      </patternFill>
    </fill>
    <fill>
      <patternFill patternType="solid">
        <fgColor rgb="FFFFFFFF"/>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3" fillId="0" borderId="0" applyFont="0" applyFill="0" applyBorder="0" applyAlignment="0" applyProtection="0">
      <alignment vertical="center"/>
    </xf>
  </cellStyleXfs>
  <cellXfs count="70">
    <xf numFmtId="0" fontId="0" fillId="0" borderId="0" xfId="0"/>
    <xf numFmtId="0" fontId="4" fillId="0" borderId="0" xfId="0" applyFont="1"/>
    <xf numFmtId="0" fontId="0" fillId="0" borderId="0" xfId="0" applyAlignment="1">
      <alignment horizontal="left"/>
    </xf>
    <xf numFmtId="0" fontId="4" fillId="0" borderId="0" xfId="0" applyFont="1" applyAlignment="1">
      <alignment vertical="center"/>
    </xf>
    <xf numFmtId="0" fontId="6" fillId="0" borderId="1" xfId="0" applyFont="1" applyBorder="1" applyAlignment="1" applyProtection="1">
      <alignment horizontal="left" vertical="center" wrapText="1"/>
      <protection hidden="1"/>
    </xf>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2" borderId="2" xfId="0" applyFont="1" applyFill="1" applyBorder="1" applyAlignment="1" applyProtection="1">
      <alignment horizontal="center" vertical="center" wrapText="1"/>
      <protection hidden="1"/>
    </xf>
    <xf numFmtId="0" fontId="10" fillId="0" borderId="2" xfId="0" applyFont="1" applyBorder="1" applyAlignment="1">
      <alignment horizontal="center" vertical="center" wrapText="1"/>
    </xf>
    <xf numFmtId="9" fontId="10" fillId="0" borderId="2" xfId="0" applyNumberFormat="1" applyFont="1" applyBorder="1" applyAlignment="1">
      <alignment horizontal="center" vertical="center" wrapText="1"/>
    </xf>
    <xf numFmtId="0" fontId="10" fillId="0" borderId="2" xfId="0" applyFont="1" applyBorder="1" applyAlignment="1">
      <alignment horizontal="center" vertical="center"/>
    </xf>
    <xf numFmtId="9" fontId="10" fillId="0" borderId="2" xfId="1" applyFont="1" applyFill="1" applyBorder="1" applyAlignment="1" applyProtection="1">
      <alignment horizontal="center" vertical="center" wrapText="1"/>
      <protection locked="0"/>
    </xf>
    <xf numFmtId="0" fontId="7" fillId="0" borderId="2" xfId="0" applyFont="1" applyBorder="1" applyAlignment="1">
      <alignment horizontal="center" vertical="center"/>
    </xf>
    <xf numFmtId="0" fontId="12" fillId="0" borderId="0" xfId="0" applyFont="1" applyAlignment="1">
      <alignment vertical="center"/>
    </xf>
    <xf numFmtId="0" fontId="11" fillId="0" borderId="0" xfId="0" applyFont="1" applyAlignment="1">
      <alignment vertical="center"/>
    </xf>
    <xf numFmtId="0" fontId="12" fillId="0" borderId="0" xfId="0" applyFont="1" applyAlignment="1">
      <alignment horizontal="left" vertical="center"/>
    </xf>
    <xf numFmtId="0" fontId="10" fillId="0" borderId="2" xfId="0" applyFont="1" applyBorder="1" applyAlignment="1">
      <alignment horizontal="left" vertical="center" wrapText="1"/>
    </xf>
    <xf numFmtId="0" fontId="7" fillId="0" borderId="6" xfId="0" applyFont="1" applyBorder="1" applyAlignment="1">
      <alignment horizontal="center" vertical="center"/>
    </xf>
    <xf numFmtId="0" fontId="13" fillId="0" borderId="2" xfId="0" applyFont="1" applyBorder="1" applyAlignment="1">
      <alignment horizontal="center" vertical="center" wrapText="1"/>
    </xf>
    <xf numFmtId="9" fontId="13" fillId="0" borderId="2" xfId="0" applyNumberFormat="1" applyFont="1" applyBorder="1" applyAlignment="1">
      <alignment horizontal="center" vertical="center" wrapText="1"/>
    </xf>
    <xf numFmtId="9" fontId="13" fillId="0" borderId="2" xfId="1" applyFont="1" applyFill="1" applyBorder="1" applyAlignment="1" applyProtection="1">
      <alignment horizontal="center" vertical="center" wrapText="1"/>
      <protection locked="0"/>
    </xf>
    <xf numFmtId="0" fontId="14" fillId="0" borderId="6" xfId="0" applyFont="1" applyBorder="1" applyAlignment="1">
      <alignment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vertical="center" wrapText="1"/>
    </xf>
    <xf numFmtId="176" fontId="13" fillId="0" borderId="2" xfId="1" applyNumberFormat="1" applyFont="1" applyFill="1" applyBorder="1" applyAlignment="1" applyProtection="1">
      <alignment horizontal="center" vertical="center" wrapText="1"/>
      <protection locked="0"/>
    </xf>
    <xf numFmtId="0" fontId="14" fillId="3" borderId="2" xfId="0" applyFont="1" applyFill="1" applyBorder="1" applyAlignment="1">
      <alignment vertical="center" wrapText="1"/>
    </xf>
    <xf numFmtId="0" fontId="14" fillId="0" borderId="2" xfId="0" applyFont="1" applyBorder="1" applyAlignment="1">
      <alignment vertical="center"/>
    </xf>
    <xf numFmtId="0" fontId="13" fillId="0" borderId="2" xfId="0" applyFont="1" applyBorder="1" applyAlignment="1">
      <alignment horizontal="center" vertical="center"/>
    </xf>
    <xf numFmtId="0" fontId="7" fillId="0" borderId="2" xfId="0" applyFont="1" applyBorder="1" applyAlignment="1">
      <alignment horizontal="left" vertical="center" wrapText="1"/>
    </xf>
    <xf numFmtId="0" fontId="5" fillId="0" borderId="2" xfId="0" applyFont="1" applyBorder="1" applyAlignment="1">
      <alignment horizontal="center" vertical="center"/>
    </xf>
    <xf numFmtId="0" fontId="6" fillId="0" borderId="2" xfId="0" applyFont="1" applyBorder="1" applyAlignment="1">
      <alignment horizontal="center"/>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7" xfId="0" applyFont="1" applyBorder="1" applyAlignment="1">
      <alignment horizontal="center" vertical="center" wrapText="1"/>
    </xf>
    <xf numFmtId="0" fontId="5" fillId="0" borderId="2" xfId="0" applyFont="1" applyBorder="1" applyAlignment="1">
      <alignment horizontal="center" vertical="center" wrapText="1"/>
    </xf>
    <xf numFmtId="0" fontId="14" fillId="0" borderId="2" xfId="0" applyFont="1" applyBorder="1" applyAlignment="1">
      <alignment vertical="center" wrapText="1"/>
    </xf>
    <xf numFmtId="0" fontId="13" fillId="0" borderId="2" xfId="0" applyFont="1" applyBorder="1"/>
    <xf numFmtId="9" fontId="13" fillId="0" borderId="2" xfId="1" applyFont="1" applyFill="1" applyBorder="1" applyAlignment="1" applyProtection="1">
      <alignment horizontal="center" vertical="center" wrapText="1"/>
      <protection locked="0"/>
    </xf>
    <xf numFmtId="0" fontId="14" fillId="3" borderId="2" xfId="0" applyFont="1" applyFill="1" applyBorder="1" applyAlignment="1">
      <alignment vertical="center" wrapText="1"/>
    </xf>
    <xf numFmtId="0" fontId="4" fillId="0" borderId="2"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5" fillId="0" borderId="0" xfId="0" applyFont="1" applyAlignment="1" applyProtection="1">
      <alignment horizontal="center" vertical="center"/>
      <protection hidden="1"/>
    </xf>
    <xf numFmtId="0" fontId="6" fillId="0" borderId="1" xfId="0" applyFont="1" applyBorder="1" applyAlignment="1" applyProtection="1">
      <alignment horizontal="left" vertical="center" wrapText="1"/>
      <protection hidden="1"/>
    </xf>
    <xf numFmtId="0" fontId="8" fillId="2" borderId="3"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8" fillId="2" borderId="6" xfId="0" applyFont="1" applyFill="1" applyBorder="1" applyAlignment="1" applyProtection="1">
      <alignment horizontal="center" vertical="center" wrapText="1"/>
      <protection hidden="1"/>
    </xf>
    <xf numFmtId="0" fontId="8" fillId="2" borderId="7" xfId="0" applyFont="1" applyFill="1" applyBorder="1" applyAlignment="1" applyProtection="1">
      <alignment horizontal="center" vertical="center" wrapText="1"/>
      <protection hidden="1"/>
    </xf>
    <xf numFmtId="0" fontId="8" fillId="2" borderId="4"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0" fontId="13" fillId="0" borderId="2" xfId="0" applyFont="1" applyBorder="1" applyAlignment="1">
      <alignment horizontal="left" vertical="center" wrapText="1"/>
    </xf>
    <xf numFmtId="0" fontId="13" fillId="0" borderId="6" xfId="0" applyFont="1" applyBorder="1" applyAlignment="1">
      <alignment horizontal="left" vertical="center" wrapText="1"/>
    </xf>
    <xf numFmtId="0" fontId="13" fillId="0" borderId="8" xfId="0" applyFont="1" applyBorder="1" applyAlignment="1">
      <alignment horizontal="left" vertical="center" wrapText="1"/>
    </xf>
    <xf numFmtId="0" fontId="13" fillId="0" borderId="7" xfId="0" applyFont="1" applyBorder="1" applyAlignment="1">
      <alignment horizontal="left" vertical="center" wrapText="1"/>
    </xf>
    <xf numFmtId="0" fontId="13" fillId="0" borderId="6" xfId="0" applyFont="1" applyBorder="1" applyAlignment="1">
      <alignment horizontal="center" vertical="center"/>
    </xf>
    <xf numFmtId="0" fontId="13" fillId="0" borderId="8" xfId="0" applyFont="1" applyBorder="1" applyAlignment="1">
      <alignment horizontal="center" vertical="center"/>
    </xf>
    <xf numFmtId="0" fontId="13" fillId="0" borderId="7" xfId="0" applyFont="1" applyBorder="1" applyAlignment="1">
      <alignment horizontal="center" vertical="center"/>
    </xf>
  </cellXfs>
  <cellStyles count="2">
    <cellStyle name="百分比" xfId="1" builtinId="5"/>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0"/>
  <sheetViews>
    <sheetView tabSelected="1" topLeftCell="F1" zoomScale="40" zoomScaleNormal="40" workbookViewId="0">
      <selection activeCell="O1" sqref="O1"/>
    </sheetView>
  </sheetViews>
  <sheetFormatPr defaultRowHeight="14" x14ac:dyDescent="0.25"/>
  <cols>
    <col min="1" max="1" width="11.26953125" customWidth="1"/>
    <col min="2" max="2" width="27.1796875" customWidth="1"/>
    <col min="3" max="3" width="38.6328125" customWidth="1"/>
    <col min="4" max="4" width="35.453125" customWidth="1"/>
    <col min="5" max="5" width="63.1796875" customWidth="1"/>
    <col min="6" max="6" width="60.453125" customWidth="1"/>
    <col min="7" max="7" width="66.36328125" customWidth="1"/>
    <col min="8" max="8" width="17.90625" customWidth="1"/>
    <col min="9" max="9" width="69.1796875" customWidth="1"/>
    <col min="10" max="10" width="26.6328125" customWidth="1"/>
    <col min="11" max="11" width="30.453125" customWidth="1"/>
    <col min="12" max="12" width="77.7265625" customWidth="1"/>
    <col min="13" max="13" width="23.1796875" customWidth="1"/>
    <col min="14" max="14" width="30.6328125" customWidth="1"/>
  </cols>
  <sheetData>
    <row r="1" spans="1:14" ht="27.5" x14ac:dyDescent="0.25">
      <c r="A1" s="49" t="s">
        <v>25</v>
      </c>
      <c r="B1" s="49"/>
      <c r="C1" s="49"/>
      <c r="D1" s="49"/>
      <c r="E1" s="49"/>
      <c r="F1" s="49"/>
      <c r="G1" s="49"/>
      <c r="H1" s="49"/>
      <c r="I1" s="49"/>
      <c r="J1" s="49"/>
      <c r="K1" s="49"/>
      <c r="L1" s="49"/>
      <c r="M1" s="49"/>
      <c r="N1" s="49"/>
    </row>
    <row r="2" spans="1:14" s="2" customFormat="1" ht="27.5" x14ac:dyDescent="0.25">
      <c r="A2" s="4"/>
      <c r="B2" s="4"/>
      <c r="C2" s="4" t="s">
        <v>32</v>
      </c>
      <c r="D2" s="4"/>
      <c r="E2" s="50" t="s">
        <v>33</v>
      </c>
      <c r="F2" s="50"/>
      <c r="G2" s="50"/>
      <c r="H2" s="50"/>
      <c r="I2" s="50"/>
      <c r="J2" s="4" t="s">
        <v>13</v>
      </c>
      <c r="K2" s="4" t="s">
        <v>34</v>
      </c>
      <c r="L2" s="50" t="s">
        <v>35</v>
      </c>
      <c r="M2" s="50"/>
      <c r="N2" s="50"/>
    </row>
    <row r="3" spans="1:14" s="1" customFormat="1" ht="100" x14ac:dyDescent="0.3">
      <c r="A3" s="5" t="s">
        <v>1</v>
      </c>
      <c r="B3" s="6" t="s">
        <v>16</v>
      </c>
      <c r="C3" s="7" t="s">
        <v>17</v>
      </c>
      <c r="D3" s="7"/>
      <c r="E3" s="6"/>
      <c r="F3" s="6"/>
      <c r="G3" s="6" t="s">
        <v>18</v>
      </c>
      <c r="H3" s="6"/>
      <c r="I3" s="6" t="s">
        <v>19</v>
      </c>
      <c r="J3" s="6"/>
      <c r="K3" s="8" t="s">
        <v>0</v>
      </c>
      <c r="L3" s="6" t="s">
        <v>2</v>
      </c>
      <c r="M3" s="8" t="s">
        <v>3</v>
      </c>
      <c r="N3" s="8" t="s">
        <v>4</v>
      </c>
    </row>
    <row r="4" spans="1:14" s="1" customFormat="1" ht="25" x14ac:dyDescent="0.3">
      <c r="A4" s="55" t="s">
        <v>14</v>
      </c>
      <c r="B4" s="53" t="s">
        <v>20</v>
      </c>
      <c r="C4" s="53" t="s">
        <v>27</v>
      </c>
      <c r="D4" s="53" t="s">
        <v>21</v>
      </c>
      <c r="E4" s="51" t="s">
        <v>29</v>
      </c>
      <c r="F4" s="52"/>
      <c r="G4" s="51" t="s">
        <v>30</v>
      </c>
      <c r="H4" s="59"/>
      <c r="I4" s="59"/>
      <c r="J4" s="52"/>
      <c r="K4" s="57" t="s">
        <v>9</v>
      </c>
      <c r="L4" s="53" t="s">
        <v>22</v>
      </c>
      <c r="M4" s="57" t="s">
        <v>3</v>
      </c>
      <c r="N4" s="57" t="s">
        <v>8</v>
      </c>
    </row>
    <row r="5" spans="1:14" s="1" customFormat="1" ht="25" x14ac:dyDescent="0.3">
      <c r="A5" s="56"/>
      <c r="B5" s="54"/>
      <c r="C5" s="54"/>
      <c r="D5" s="54"/>
      <c r="E5" s="6" t="s">
        <v>28</v>
      </c>
      <c r="F5" s="6" t="s">
        <v>15</v>
      </c>
      <c r="G5" s="6" t="s">
        <v>10</v>
      </c>
      <c r="H5" s="6" t="s">
        <v>12</v>
      </c>
      <c r="I5" s="6" t="s">
        <v>11</v>
      </c>
      <c r="J5" s="6" t="s">
        <v>12</v>
      </c>
      <c r="K5" s="58"/>
      <c r="L5" s="54"/>
      <c r="M5" s="58"/>
      <c r="N5" s="58"/>
    </row>
    <row r="6" spans="1:14" s="1" customFormat="1" ht="225" x14ac:dyDescent="0.3">
      <c r="A6" s="11">
        <v>1</v>
      </c>
      <c r="B6" s="13" t="s">
        <v>23</v>
      </c>
      <c r="C6" s="9" t="s">
        <v>36</v>
      </c>
      <c r="D6" s="9" t="s">
        <v>37</v>
      </c>
      <c r="E6" s="9" t="s">
        <v>38</v>
      </c>
      <c r="F6" s="17" t="s">
        <v>39</v>
      </c>
      <c r="G6" s="17" t="s">
        <v>40</v>
      </c>
      <c r="H6" s="10">
        <v>0.5</v>
      </c>
      <c r="I6" s="17" t="s">
        <v>41</v>
      </c>
      <c r="J6" s="10">
        <v>0.5</v>
      </c>
      <c r="K6" s="12">
        <v>0.25</v>
      </c>
      <c r="L6" s="29" t="s">
        <v>123</v>
      </c>
      <c r="M6" s="13">
        <v>93</v>
      </c>
      <c r="N6" s="13"/>
    </row>
    <row r="7" spans="1:14" s="1" customFormat="1" ht="150" x14ac:dyDescent="0.3">
      <c r="A7" s="11">
        <v>2</v>
      </c>
      <c r="B7" s="13" t="s">
        <v>23</v>
      </c>
      <c r="C7" s="9" t="s">
        <v>43</v>
      </c>
      <c r="D7" s="9" t="s">
        <v>42</v>
      </c>
      <c r="E7" s="9" t="s">
        <v>44</v>
      </c>
      <c r="F7" s="17" t="s">
        <v>45</v>
      </c>
      <c r="G7" s="17" t="s">
        <v>46</v>
      </c>
      <c r="H7" s="10">
        <v>0.6</v>
      </c>
      <c r="I7" s="17" t="s">
        <v>47</v>
      </c>
      <c r="J7" s="10">
        <v>0.4</v>
      </c>
      <c r="K7" s="12">
        <v>0.2</v>
      </c>
      <c r="L7" s="29" t="s">
        <v>124</v>
      </c>
      <c r="M7" s="13">
        <v>87</v>
      </c>
      <c r="N7" s="13"/>
    </row>
    <row r="8" spans="1:14" s="1" customFormat="1" ht="200" x14ac:dyDescent="0.3">
      <c r="A8" s="11">
        <v>3</v>
      </c>
      <c r="B8" s="18" t="s">
        <v>24</v>
      </c>
      <c r="C8" s="9" t="s">
        <v>48</v>
      </c>
      <c r="D8" s="9" t="s">
        <v>49</v>
      </c>
      <c r="E8" s="9" t="s">
        <v>51</v>
      </c>
      <c r="F8" s="17" t="s">
        <v>50</v>
      </c>
      <c r="G8" s="17" t="s">
        <v>52</v>
      </c>
      <c r="H8" s="10">
        <v>0.5</v>
      </c>
      <c r="I8" s="17" t="s">
        <v>52</v>
      </c>
      <c r="J8" s="10">
        <v>0.5</v>
      </c>
      <c r="K8" s="12">
        <v>0.05</v>
      </c>
      <c r="L8" s="29" t="s">
        <v>125</v>
      </c>
      <c r="M8" s="13">
        <v>95</v>
      </c>
      <c r="N8" s="13"/>
    </row>
    <row r="9" spans="1:14" s="1" customFormat="1" ht="137.5" x14ac:dyDescent="0.3">
      <c r="A9" s="11">
        <v>4</v>
      </c>
      <c r="B9" s="60" t="s">
        <v>26</v>
      </c>
      <c r="C9" s="19" t="s">
        <v>67</v>
      </c>
      <c r="D9" s="19" t="s">
        <v>54</v>
      </c>
      <c r="E9" s="19" t="s">
        <v>68</v>
      </c>
      <c r="F9" s="19" t="s">
        <v>56</v>
      </c>
      <c r="G9" s="19" t="s">
        <v>69</v>
      </c>
      <c r="H9" s="20">
        <v>0.5</v>
      </c>
      <c r="I9" s="19" t="s">
        <v>69</v>
      </c>
      <c r="J9" s="20">
        <v>0.5</v>
      </c>
      <c r="K9" s="21">
        <v>0.02</v>
      </c>
      <c r="L9" s="63" t="s">
        <v>140</v>
      </c>
      <c r="M9" s="28">
        <v>100</v>
      </c>
      <c r="N9" s="13"/>
    </row>
    <row r="10" spans="1:14" s="1" customFormat="1" ht="137.5" x14ac:dyDescent="0.3">
      <c r="A10" s="11">
        <v>5</v>
      </c>
      <c r="B10" s="61"/>
      <c r="C10" s="19" t="s">
        <v>53</v>
      </c>
      <c r="D10" s="19" t="s">
        <v>54</v>
      </c>
      <c r="E10" s="19" t="s">
        <v>55</v>
      </c>
      <c r="F10" s="19" t="s">
        <v>56</v>
      </c>
      <c r="G10" s="19" t="s">
        <v>57</v>
      </c>
      <c r="H10" s="20">
        <v>0.5</v>
      </c>
      <c r="I10" s="19" t="s">
        <v>57</v>
      </c>
      <c r="J10" s="20">
        <v>0.5</v>
      </c>
      <c r="K10" s="21">
        <v>0.02</v>
      </c>
      <c r="L10" s="63" t="s">
        <v>126</v>
      </c>
      <c r="M10" s="28">
        <v>100</v>
      </c>
      <c r="N10" s="13"/>
    </row>
    <row r="11" spans="1:14" s="1" customFormat="1" ht="82.5" x14ac:dyDescent="0.3">
      <c r="A11" s="11">
        <v>6</v>
      </c>
      <c r="B11" s="61"/>
      <c r="C11" s="19" t="s">
        <v>58</v>
      </c>
      <c r="D11" s="19" t="s">
        <v>54</v>
      </c>
      <c r="E11" s="19" t="s">
        <v>59</v>
      </c>
      <c r="F11" s="19" t="s">
        <v>56</v>
      </c>
      <c r="G11" s="19" t="s">
        <v>60</v>
      </c>
      <c r="H11" s="20">
        <v>0.5</v>
      </c>
      <c r="I11" s="19" t="s">
        <v>60</v>
      </c>
      <c r="J11" s="20">
        <v>0.5</v>
      </c>
      <c r="K11" s="21">
        <v>0.02</v>
      </c>
      <c r="L11" s="63" t="s">
        <v>127</v>
      </c>
      <c r="M11" s="28">
        <v>100</v>
      </c>
      <c r="N11" s="13"/>
    </row>
    <row r="12" spans="1:14" s="1" customFormat="1" ht="82.5" x14ac:dyDescent="0.3">
      <c r="A12" s="11">
        <v>7</v>
      </c>
      <c r="B12" s="61"/>
      <c r="C12" s="19" t="s">
        <v>61</v>
      </c>
      <c r="D12" s="19" t="s">
        <v>54</v>
      </c>
      <c r="E12" s="19" t="s">
        <v>62</v>
      </c>
      <c r="F12" s="19" t="s">
        <v>56</v>
      </c>
      <c r="G12" s="19" t="s">
        <v>63</v>
      </c>
      <c r="H12" s="20">
        <v>0.5</v>
      </c>
      <c r="I12" s="19" t="s">
        <v>63</v>
      </c>
      <c r="J12" s="20">
        <v>0.5</v>
      </c>
      <c r="K12" s="21">
        <v>0.02</v>
      </c>
      <c r="L12" s="63" t="s">
        <v>128</v>
      </c>
      <c r="M12" s="28">
        <v>100</v>
      </c>
      <c r="N12" s="13"/>
    </row>
    <row r="13" spans="1:14" s="1" customFormat="1" ht="110" x14ac:dyDescent="0.3">
      <c r="A13" s="11">
        <v>8</v>
      </c>
      <c r="B13" s="62"/>
      <c r="C13" s="24" t="s">
        <v>64</v>
      </c>
      <c r="D13" s="19" t="s">
        <v>54</v>
      </c>
      <c r="E13" s="22" t="s">
        <v>65</v>
      </c>
      <c r="F13" s="23" t="s">
        <v>56</v>
      </c>
      <c r="G13" s="19" t="s">
        <v>66</v>
      </c>
      <c r="H13" s="20">
        <v>0.5</v>
      </c>
      <c r="I13" s="19" t="s">
        <v>66</v>
      </c>
      <c r="J13" s="20">
        <v>0.5</v>
      </c>
      <c r="K13" s="21">
        <v>0.02</v>
      </c>
      <c r="L13" s="63" t="s">
        <v>129</v>
      </c>
      <c r="M13" s="28">
        <v>100</v>
      </c>
      <c r="N13" s="13"/>
    </row>
    <row r="14" spans="1:14" s="1" customFormat="1" ht="27.5" x14ac:dyDescent="0.3">
      <c r="A14" s="11">
        <v>9</v>
      </c>
      <c r="B14" s="40" t="s">
        <v>104</v>
      </c>
      <c r="C14" s="26" t="s">
        <v>105</v>
      </c>
      <c r="D14" s="19" t="s">
        <v>54</v>
      </c>
      <c r="E14" s="32" t="s">
        <v>70</v>
      </c>
      <c r="F14" s="33"/>
      <c r="G14" s="33"/>
      <c r="H14" s="33"/>
      <c r="I14" s="33"/>
      <c r="J14" s="34"/>
      <c r="K14" s="43">
        <v>0.2</v>
      </c>
      <c r="L14" s="64" t="s">
        <v>130</v>
      </c>
      <c r="M14" s="67">
        <v>100</v>
      </c>
      <c r="N14" s="13"/>
    </row>
    <row r="15" spans="1:14" s="1" customFormat="1" ht="27.5" x14ac:dyDescent="0.3">
      <c r="A15" s="11">
        <v>10</v>
      </c>
      <c r="B15" s="31"/>
      <c r="C15" s="44" t="s">
        <v>106</v>
      </c>
      <c r="D15" s="19" t="s">
        <v>54</v>
      </c>
      <c r="E15" s="32" t="s">
        <v>71</v>
      </c>
      <c r="F15" s="33"/>
      <c r="G15" s="33"/>
      <c r="H15" s="33"/>
      <c r="I15" s="33"/>
      <c r="J15" s="34"/>
      <c r="K15" s="43"/>
      <c r="L15" s="65"/>
      <c r="M15" s="68"/>
      <c r="N15" s="13"/>
    </row>
    <row r="16" spans="1:14" s="1" customFormat="1" ht="27.5" x14ac:dyDescent="0.3">
      <c r="A16" s="11">
        <v>11</v>
      </c>
      <c r="B16" s="31"/>
      <c r="C16" s="42"/>
      <c r="D16" s="19" t="s">
        <v>54</v>
      </c>
      <c r="E16" s="32" t="s">
        <v>72</v>
      </c>
      <c r="F16" s="33"/>
      <c r="G16" s="33"/>
      <c r="H16" s="33"/>
      <c r="I16" s="33"/>
      <c r="J16" s="34"/>
      <c r="K16" s="43"/>
      <c r="L16" s="65"/>
      <c r="M16" s="68"/>
      <c r="N16" s="13"/>
    </row>
    <row r="17" spans="1:14" s="1" customFormat="1" ht="27.5" x14ac:dyDescent="0.3">
      <c r="A17" s="11">
        <v>12</v>
      </c>
      <c r="B17" s="31"/>
      <c r="C17" s="42"/>
      <c r="D17" s="19" t="s">
        <v>54</v>
      </c>
      <c r="E17" s="32" t="s">
        <v>73</v>
      </c>
      <c r="F17" s="33"/>
      <c r="G17" s="33"/>
      <c r="H17" s="33"/>
      <c r="I17" s="33"/>
      <c r="J17" s="34"/>
      <c r="K17" s="43"/>
      <c r="L17" s="65"/>
      <c r="M17" s="68"/>
      <c r="N17" s="13"/>
    </row>
    <row r="18" spans="1:14" s="1" customFormat="1" ht="27.5" x14ac:dyDescent="0.3">
      <c r="A18" s="11">
        <v>13</v>
      </c>
      <c r="B18" s="31"/>
      <c r="C18" s="44" t="s">
        <v>107</v>
      </c>
      <c r="D18" s="19" t="s">
        <v>54</v>
      </c>
      <c r="E18" s="32" t="s">
        <v>74</v>
      </c>
      <c r="F18" s="33"/>
      <c r="G18" s="33"/>
      <c r="H18" s="33"/>
      <c r="I18" s="33"/>
      <c r="J18" s="34"/>
      <c r="K18" s="43"/>
      <c r="L18" s="65"/>
      <c r="M18" s="68"/>
      <c r="N18" s="13"/>
    </row>
    <row r="19" spans="1:14" s="1" customFormat="1" ht="27.5" x14ac:dyDescent="0.3">
      <c r="A19" s="11">
        <v>14</v>
      </c>
      <c r="B19" s="31"/>
      <c r="C19" s="42"/>
      <c r="D19" s="19" t="s">
        <v>54</v>
      </c>
      <c r="E19" s="32" t="s">
        <v>75</v>
      </c>
      <c r="F19" s="33"/>
      <c r="G19" s="33"/>
      <c r="H19" s="33"/>
      <c r="I19" s="33"/>
      <c r="J19" s="34"/>
      <c r="K19" s="43"/>
      <c r="L19" s="65"/>
      <c r="M19" s="68"/>
      <c r="N19" s="13"/>
    </row>
    <row r="20" spans="1:14" s="1" customFormat="1" ht="27.5" x14ac:dyDescent="0.3">
      <c r="A20" s="11">
        <v>15</v>
      </c>
      <c r="B20" s="31"/>
      <c r="C20" s="44" t="s">
        <v>108</v>
      </c>
      <c r="D20" s="19" t="s">
        <v>54</v>
      </c>
      <c r="E20" s="32" t="s">
        <v>76</v>
      </c>
      <c r="F20" s="33"/>
      <c r="G20" s="33"/>
      <c r="H20" s="33"/>
      <c r="I20" s="33"/>
      <c r="J20" s="34"/>
      <c r="K20" s="43"/>
      <c r="L20" s="65"/>
      <c r="M20" s="68"/>
      <c r="N20" s="13"/>
    </row>
    <row r="21" spans="1:14" s="1" customFormat="1" ht="27.5" x14ac:dyDescent="0.3">
      <c r="A21" s="11">
        <v>16</v>
      </c>
      <c r="B21" s="31"/>
      <c r="C21" s="42"/>
      <c r="D21" s="19" t="s">
        <v>54</v>
      </c>
      <c r="E21" s="32" t="s">
        <v>77</v>
      </c>
      <c r="F21" s="33"/>
      <c r="G21" s="33"/>
      <c r="H21" s="33"/>
      <c r="I21" s="33"/>
      <c r="J21" s="34"/>
      <c r="K21" s="43"/>
      <c r="L21" s="65"/>
      <c r="M21" s="68"/>
      <c r="N21" s="13"/>
    </row>
    <row r="22" spans="1:14" s="1" customFormat="1" ht="27.5" x14ac:dyDescent="0.3">
      <c r="A22" s="11">
        <v>17</v>
      </c>
      <c r="B22" s="31"/>
      <c r="C22" s="42"/>
      <c r="D22" s="19" t="s">
        <v>54</v>
      </c>
      <c r="E22" s="32" t="s">
        <v>78</v>
      </c>
      <c r="F22" s="33"/>
      <c r="G22" s="33"/>
      <c r="H22" s="33"/>
      <c r="I22" s="33"/>
      <c r="J22" s="34"/>
      <c r="K22" s="43"/>
      <c r="L22" s="65"/>
      <c r="M22" s="68"/>
      <c r="N22" s="13"/>
    </row>
    <row r="23" spans="1:14" s="1" customFormat="1" ht="27.5" x14ac:dyDescent="0.3">
      <c r="A23" s="11">
        <v>18</v>
      </c>
      <c r="B23" s="31"/>
      <c r="C23" s="42"/>
      <c r="D23" s="19" t="s">
        <v>54</v>
      </c>
      <c r="E23" s="32" t="s">
        <v>79</v>
      </c>
      <c r="F23" s="33"/>
      <c r="G23" s="33"/>
      <c r="H23" s="33"/>
      <c r="I23" s="33"/>
      <c r="J23" s="34"/>
      <c r="K23" s="43"/>
      <c r="L23" s="65"/>
      <c r="M23" s="68"/>
      <c r="N23" s="13"/>
    </row>
    <row r="24" spans="1:14" s="1" customFormat="1" ht="27.5" x14ac:dyDescent="0.3">
      <c r="A24" s="11">
        <v>19</v>
      </c>
      <c r="B24" s="31"/>
      <c r="C24" s="42"/>
      <c r="D24" s="19" t="s">
        <v>54</v>
      </c>
      <c r="E24" s="32" t="s">
        <v>80</v>
      </c>
      <c r="F24" s="33"/>
      <c r="G24" s="33"/>
      <c r="H24" s="33"/>
      <c r="I24" s="33"/>
      <c r="J24" s="34"/>
      <c r="K24" s="43"/>
      <c r="L24" s="65"/>
      <c r="M24" s="68"/>
      <c r="N24" s="13"/>
    </row>
    <row r="25" spans="1:14" s="1" customFormat="1" ht="27.5" x14ac:dyDescent="0.3">
      <c r="A25" s="11">
        <v>20</v>
      </c>
      <c r="B25" s="40" t="s">
        <v>109</v>
      </c>
      <c r="C25" s="41" t="s">
        <v>110</v>
      </c>
      <c r="D25" s="19" t="s">
        <v>54</v>
      </c>
      <c r="E25" s="32" t="s">
        <v>81</v>
      </c>
      <c r="F25" s="33"/>
      <c r="G25" s="33"/>
      <c r="H25" s="33"/>
      <c r="I25" s="33"/>
      <c r="J25" s="34"/>
      <c r="K25" s="43"/>
      <c r="L25" s="65"/>
      <c r="M25" s="68"/>
      <c r="N25" s="13"/>
    </row>
    <row r="26" spans="1:14" s="1" customFormat="1" ht="27.5" x14ac:dyDescent="0.3">
      <c r="A26" s="11">
        <v>21</v>
      </c>
      <c r="B26" s="31"/>
      <c r="C26" s="42"/>
      <c r="D26" s="19" t="s">
        <v>54</v>
      </c>
      <c r="E26" s="32" t="s">
        <v>82</v>
      </c>
      <c r="F26" s="33"/>
      <c r="G26" s="33"/>
      <c r="H26" s="33"/>
      <c r="I26" s="33"/>
      <c r="J26" s="34"/>
      <c r="K26" s="43"/>
      <c r="L26" s="65"/>
      <c r="M26" s="68"/>
      <c r="N26" s="13"/>
    </row>
    <row r="27" spans="1:14" s="1" customFormat="1" ht="27.5" x14ac:dyDescent="0.3">
      <c r="A27" s="11">
        <v>22</v>
      </c>
      <c r="B27" s="30" t="s">
        <v>111</v>
      </c>
      <c r="C27" s="27" t="s">
        <v>112</v>
      </c>
      <c r="D27" s="19" t="s">
        <v>54</v>
      </c>
      <c r="E27" s="32" t="s">
        <v>83</v>
      </c>
      <c r="F27" s="33"/>
      <c r="G27" s="33"/>
      <c r="H27" s="33"/>
      <c r="I27" s="33"/>
      <c r="J27" s="34"/>
      <c r="K27" s="43"/>
      <c r="L27" s="65"/>
      <c r="M27" s="68"/>
      <c r="N27" s="13"/>
    </row>
    <row r="28" spans="1:14" s="1" customFormat="1" ht="27.5" x14ac:dyDescent="0.3">
      <c r="A28" s="11">
        <v>23</v>
      </c>
      <c r="B28" s="31"/>
      <c r="C28" s="27" t="s">
        <v>113</v>
      </c>
      <c r="D28" s="19" t="s">
        <v>54</v>
      </c>
      <c r="E28" s="32" t="s">
        <v>84</v>
      </c>
      <c r="F28" s="33"/>
      <c r="G28" s="33"/>
      <c r="H28" s="33"/>
      <c r="I28" s="33"/>
      <c r="J28" s="34"/>
      <c r="K28" s="43"/>
      <c r="L28" s="65"/>
      <c r="M28" s="68"/>
      <c r="N28" s="13"/>
    </row>
    <row r="29" spans="1:14" s="1" customFormat="1" ht="27.5" x14ac:dyDescent="0.3">
      <c r="A29" s="11">
        <v>24</v>
      </c>
      <c r="B29" s="31"/>
      <c r="C29" s="27" t="s">
        <v>114</v>
      </c>
      <c r="D29" s="19" t="s">
        <v>54</v>
      </c>
      <c r="E29" s="32" t="s">
        <v>85</v>
      </c>
      <c r="F29" s="33"/>
      <c r="G29" s="33"/>
      <c r="H29" s="33"/>
      <c r="I29" s="33"/>
      <c r="J29" s="34"/>
      <c r="K29" s="43"/>
      <c r="L29" s="66"/>
      <c r="M29" s="69"/>
      <c r="N29" s="13"/>
    </row>
    <row r="30" spans="1:14" s="1" customFormat="1" ht="82.5" x14ac:dyDescent="0.3">
      <c r="A30" s="11">
        <v>25</v>
      </c>
      <c r="B30" s="35" t="s">
        <v>115</v>
      </c>
      <c r="C30" s="37" t="s">
        <v>116</v>
      </c>
      <c r="D30" s="37" t="s">
        <v>54</v>
      </c>
      <c r="E30" s="19" t="s">
        <v>86</v>
      </c>
      <c r="F30" s="23" t="s">
        <v>56</v>
      </c>
      <c r="G30" s="19" t="s">
        <v>87</v>
      </c>
      <c r="H30" s="20">
        <v>0.5</v>
      </c>
      <c r="I30" s="19" t="s">
        <v>87</v>
      </c>
      <c r="J30" s="20">
        <v>0.5</v>
      </c>
      <c r="K30" s="25">
        <v>0.03</v>
      </c>
      <c r="L30" s="63" t="s">
        <v>131</v>
      </c>
      <c r="M30" s="28">
        <v>100</v>
      </c>
      <c r="N30" s="13"/>
    </row>
    <row r="31" spans="1:14" s="1" customFormat="1" ht="110" x14ac:dyDescent="0.3">
      <c r="A31" s="11">
        <v>26</v>
      </c>
      <c r="B31" s="36"/>
      <c r="C31" s="38"/>
      <c r="D31" s="38"/>
      <c r="E31" s="19" t="s">
        <v>88</v>
      </c>
      <c r="F31" s="23" t="s">
        <v>56</v>
      </c>
      <c r="G31" s="19" t="s">
        <v>89</v>
      </c>
      <c r="H31" s="20">
        <v>0.5</v>
      </c>
      <c r="I31" s="19" t="s">
        <v>89</v>
      </c>
      <c r="J31" s="20">
        <v>0.5</v>
      </c>
      <c r="K31" s="25">
        <v>0.03</v>
      </c>
      <c r="L31" s="63" t="s">
        <v>132</v>
      </c>
      <c r="M31" s="28">
        <v>100</v>
      </c>
      <c r="N31" s="13"/>
    </row>
    <row r="32" spans="1:14" s="1" customFormat="1" ht="55" x14ac:dyDescent="0.3">
      <c r="A32" s="11">
        <v>27</v>
      </c>
      <c r="B32" s="36"/>
      <c r="C32" s="39"/>
      <c r="D32" s="39"/>
      <c r="E32" s="19" t="s">
        <v>90</v>
      </c>
      <c r="F32" s="23" t="s">
        <v>56</v>
      </c>
      <c r="G32" s="19" t="s">
        <v>91</v>
      </c>
      <c r="H32" s="20">
        <v>0.5</v>
      </c>
      <c r="I32" s="19" t="s">
        <v>91</v>
      </c>
      <c r="J32" s="20">
        <v>0.5</v>
      </c>
      <c r="K32" s="25">
        <v>0.02</v>
      </c>
      <c r="L32" s="63" t="s">
        <v>133</v>
      </c>
      <c r="M32" s="28">
        <v>100</v>
      </c>
      <c r="N32" s="13"/>
    </row>
    <row r="33" spans="1:14" s="1" customFormat="1" ht="165" x14ac:dyDescent="0.3">
      <c r="A33" s="11">
        <v>28</v>
      </c>
      <c r="B33" s="36"/>
      <c r="C33" s="19" t="s">
        <v>117</v>
      </c>
      <c r="D33" s="28" t="s">
        <v>54</v>
      </c>
      <c r="E33" s="19" t="s">
        <v>92</v>
      </c>
      <c r="F33" s="23" t="s">
        <v>56</v>
      </c>
      <c r="G33" s="19" t="s">
        <v>93</v>
      </c>
      <c r="H33" s="20">
        <v>0.5</v>
      </c>
      <c r="I33" s="19" t="s">
        <v>93</v>
      </c>
      <c r="J33" s="20">
        <v>0.5</v>
      </c>
      <c r="K33" s="25">
        <v>0.02</v>
      </c>
      <c r="L33" s="63" t="s">
        <v>134</v>
      </c>
      <c r="M33" s="28">
        <v>100</v>
      </c>
      <c r="N33" s="13"/>
    </row>
    <row r="34" spans="1:14" s="1" customFormat="1" ht="55" x14ac:dyDescent="0.3">
      <c r="A34" s="11">
        <v>29</v>
      </c>
      <c r="B34" s="36"/>
      <c r="C34" s="19" t="s">
        <v>118</v>
      </c>
      <c r="D34" s="37" t="s">
        <v>54</v>
      </c>
      <c r="E34" s="19" t="s">
        <v>94</v>
      </c>
      <c r="F34" s="23" t="s">
        <v>56</v>
      </c>
      <c r="G34" s="19" t="s">
        <v>95</v>
      </c>
      <c r="H34" s="20">
        <v>0.5</v>
      </c>
      <c r="I34" s="19" t="s">
        <v>95</v>
      </c>
      <c r="J34" s="20">
        <v>0.5</v>
      </c>
      <c r="K34" s="25">
        <v>2.5000000000000001E-2</v>
      </c>
      <c r="L34" s="63" t="s">
        <v>135</v>
      </c>
      <c r="M34" s="28">
        <v>100</v>
      </c>
      <c r="N34" s="13"/>
    </row>
    <row r="35" spans="1:14" s="1" customFormat="1" ht="55" x14ac:dyDescent="0.3">
      <c r="A35" s="11">
        <v>30</v>
      </c>
      <c r="B35" s="36"/>
      <c r="C35" s="19" t="s">
        <v>119</v>
      </c>
      <c r="D35" s="38"/>
      <c r="E35" s="19" t="s">
        <v>96</v>
      </c>
      <c r="F35" s="23" t="s">
        <v>56</v>
      </c>
      <c r="G35" s="19" t="s">
        <v>97</v>
      </c>
      <c r="H35" s="20">
        <v>0.5</v>
      </c>
      <c r="I35" s="19" t="s">
        <v>97</v>
      </c>
      <c r="J35" s="20">
        <v>0.5</v>
      </c>
      <c r="K35" s="25">
        <v>0.03</v>
      </c>
      <c r="L35" s="63" t="s">
        <v>136</v>
      </c>
      <c r="M35" s="28">
        <v>100</v>
      </c>
      <c r="N35" s="13"/>
    </row>
    <row r="36" spans="1:14" s="1" customFormat="1" ht="55" x14ac:dyDescent="0.3">
      <c r="A36" s="11">
        <v>31</v>
      </c>
      <c r="B36" s="36"/>
      <c r="C36" s="19" t="s">
        <v>120</v>
      </c>
      <c r="D36" s="38"/>
      <c r="E36" s="19" t="s">
        <v>98</v>
      </c>
      <c r="F36" s="23" t="s">
        <v>56</v>
      </c>
      <c r="G36" s="19" t="s">
        <v>99</v>
      </c>
      <c r="H36" s="20">
        <v>0.5</v>
      </c>
      <c r="I36" s="19" t="s">
        <v>99</v>
      </c>
      <c r="J36" s="20">
        <v>0.5</v>
      </c>
      <c r="K36" s="25">
        <v>0.01</v>
      </c>
      <c r="L36" s="63" t="s">
        <v>137</v>
      </c>
      <c r="M36" s="28">
        <v>100</v>
      </c>
      <c r="N36" s="13"/>
    </row>
    <row r="37" spans="1:14" s="1" customFormat="1" ht="55" x14ac:dyDescent="0.3">
      <c r="A37" s="11">
        <v>32</v>
      </c>
      <c r="B37" s="36"/>
      <c r="C37" s="19" t="s">
        <v>121</v>
      </c>
      <c r="D37" s="38"/>
      <c r="E37" s="19" t="s">
        <v>100</v>
      </c>
      <c r="F37" s="23" t="s">
        <v>56</v>
      </c>
      <c r="G37" s="19" t="s">
        <v>101</v>
      </c>
      <c r="H37" s="20">
        <v>0.5</v>
      </c>
      <c r="I37" s="19" t="s">
        <v>101</v>
      </c>
      <c r="J37" s="20">
        <v>0.5</v>
      </c>
      <c r="K37" s="25">
        <v>1.4999999999999999E-2</v>
      </c>
      <c r="L37" s="63" t="s">
        <v>138</v>
      </c>
      <c r="M37" s="28">
        <v>100</v>
      </c>
      <c r="N37" s="13"/>
    </row>
    <row r="38" spans="1:14" s="1" customFormat="1" ht="55" x14ac:dyDescent="0.3">
      <c r="A38" s="11">
        <v>33</v>
      </c>
      <c r="B38" s="36"/>
      <c r="C38" s="19" t="s">
        <v>122</v>
      </c>
      <c r="D38" s="39"/>
      <c r="E38" s="19" t="s">
        <v>102</v>
      </c>
      <c r="F38" s="23" t="s">
        <v>56</v>
      </c>
      <c r="G38" s="19" t="s">
        <v>103</v>
      </c>
      <c r="H38" s="20">
        <v>0.5</v>
      </c>
      <c r="I38" s="19" t="s">
        <v>103</v>
      </c>
      <c r="J38" s="20">
        <v>0.5</v>
      </c>
      <c r="K38" s="25">
        <v>0.02</v>
      </c>
      <c r="L38" s="63" t="s">
        <v>139</v>
      </c>
      <c r="M38" s="28">
        <v>100</v>
      </c>
      <c r="N38" s="13"/>
    </row>
    <row r="39" spans="1:14" s="1" customFormat="1" ht="17.5" x14ac:dyDescent="0.3">
      <c r="A39" s="46" t="s">
        <v>5</v>
      </c>
      <c r="B39" s="47"/>
      <c r="C39" s="47"/>
      <c r="D39" s="47"/>
      <c r="E39" s="47"/>
      <c r="F39" s="47"/>
      <c r="G39" s="47"/>
      <c r="H39" s="47"/>
      <c r="I39" s="47"/>
      <c r="J39" s="47"/>
      <c r="K39" s="48"/>
      <c r="L39" s="45">
        <f>SUMPRODUCT(K6:K38,N6:N38)</f>
        <v>0</v>
      </c>
      <c r="M39" s="45"/>
      <c r="N39" s="45"/>
    </row>
    <row r="40" spans="1:14" s="3" customFormat="1" ht="17.5" x14ac:dyDescent="0.25">
      <c r="A40" s="14"/>
      <c r="B40" s="15" t="s">
        <v>31</v>
      </c>
      <c r="C40" s="14"/>
      <c r="D40" s="14"/>
      <c r="E40" s="16"/>
      <c r="F40" s="15" t="s">
        <v>6</v>
      </c>
      <c r="G40" s="15"/>
      <c r="H40" s="15"/>
      <c r="I40" s="15" t="s">
        <v>7</v>
      </c>
      <c r="J40" s="14"/>
      <c r="K40" s="14"/>
    </row>
  </sheetData>
  <protectedRanges>
    <protectedRange sqref="K6:K8" name="区域1_1"/>
    <protectedRange sqref="K2 M2" name="区域1_2"/>
    <protectedRange sqref="K37:K38" name="区域1_1_1_2"/>
  </protectedRanges>
  <mergeCells count="46">
    <mergeCell ref="L14:L29"/>
    <mergeCell ref="M14:M29"/>
    <mergeCell ref="L39:N39"/>
    <mergeCell ref="A39:K39"/>
    <mergeCell ref="A1:N1"/>
    <mergeCell ref="L2:N2"/>
    <mergeCell ref="E2:I2"/>
    <mergeCell ref="E4:F4"/>
    <mergeCell ref="B4:B5"/>
    <mergeCell ref="C4:C5"/>
    <mergeCell ref="A4:A5"/>
    <mergeCell ref="M4:M5"/>
    <mergeCell ref="N4:N5"/>
    <mergeCell ref="G4:J4"/>
    <mergeCell ref="K4:K5"/>
    <mergeCell ref="L4:L5"/>
    <mergeCell ref="D4:D5"/>
    <mergeCell ref="B9:B13"/>
    <mergeCell ref="K14:K29"/>
    <mergeCell ref="C15:C17"/>
    <mergeCell ref="E15:J15"/>
    <mergeCell ref="E16:J16"/>
    <mergeCell ref="E17:J17"/>
    <mergeCell ref="C18:C19"/>
    <mergeCell ref="E18:J18"/>
    <mergeCell ref="E19:J19"/>
    <mergeCell ref="C20:C24"/>
    <mergeCell ref="E20:J20"/>
    <mergeCell ref="E21:J21"/>
    <mergeCell ref="E22:J22"/>
    <mergeCell ref="E23:J23"/>
    <mergeCell ref="E24:J24"/>
    <mergeCell ref="B25:B26"/>
    <mergeCell ref="C25:C26"/>
    <mergeCell ref="E25:J25"/>
    <mergeCell ref="E26:J26"/>
    <mergeCell ref="B14:B24"/>
    <mergeCell ref="E14:J14"/>
    <mergeCell ref="B27:B29"/>
    <mergeCell ref="E27:J27"/>
    <mergeCell ref="E28:J28"/>
    <mergeCell ref="E29:J29"/>
    <mergeCell ref="B30:B38"/>
    <mergeCell ref="C30:C32"/>
    <mergeCell ref="D30:D32"/>
    <mergeCell ref="D34:D38"/>
  </mergeCells>
  <phoneticPr fontId="1" type="noConversion"/>
  <dataValidations count="1">
    <dataValidation allowBlank="1" showErrorMessage="1" prompt="注意：KPI、MBO两部分权重之和为100%" sqref="K6:K8 K13:K38 H30:H38 J30:J38" xr:uid="{00000000-0002-0000-0000-000000000000}"/>
  </dataValidations>
  <printOptions horizontalCentered="1"/>
  <pageMargins left="0" right="0" top="0" bottom="0" header="0.31496062992125984" footer="0.31496062992125984"/>
  <pageSetup paperSize="8" scale="5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2024-12-16T07:12:39Z</dcterms:modified>
</cp:coreProperties>
</file>