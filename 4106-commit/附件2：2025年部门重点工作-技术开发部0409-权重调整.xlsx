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50" windowHeight="12280" activeTab="1"/>
  </bookViews>
  <sheets>
    <sheet name="部门" sheetId="1" r:id="rId1"/>
    <sheet name="员工" sheetId="2" r:id="rId2"/>
  </sheets>
  <definedNames>
    <definedName name="_xlnm._FilterDatabase" localSheetId="0" hidden="1">部门!$A$4:$L$90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<sst xmlns="http://schemas.openxmlformats.org/spreadsheetml/2006/main" count="1008" uniqueCount="505">
  <si>
    <t>2025年度部门重点工作任务考核计划</t>
  </si>
  <si>
    <t>部门：</t>
  </si>
  <si>
    <t>技术开发部</t>
  </si>
  <si>
    <t>序号</t>
  </si>
  <si>
    <t>部门重点工作事项（见事）</t>
  </si>
  <si>
    <t>重点工作考核目标及认定标准（见成果）</t>
  </si>
  <si>
    <t>重点工作考核目标推进计划（见进展）</t>
  </si>
  <si>
    <t>任务层级</t>
  </si>
  <si>
    <t>组别</t>
  </si>
  <si>
    <t>任务负责人员（见人）</t>
  </si>
  <si>
    <t>任务类别</t>
  </si>
  <si>
    <t>重点工作总体目标</t>
  </si>
  <si>
    <t>重点工作内容</t>
  </si>
  <si>
    <t>具体实现目标</t>
  </si>
  <si>
    <t>工作成果及认定标准</t>
  </si>
  <si>
    <t xml:space="preserve">权重
</t>
  </si>
  <si>
    <t>上半年工作成果
（根据考核成果倒推、细化每个关键节点计划完成时间、交付物）</t>
  </si>
  <si>
    <t>下半年工作成果
（根据考核成果倒推、细化每个关键节点计划完成时间、交付物）</t>
  </si>
  <si>
    <t>主责人员与参与人员
（牵头人员首位，依次排序）</t>
  </si>
  <si>
    <t>发行</t>
  </si>
  <si>
    <t>全面提升发行服务质效，延展服务范围</t>
  </si>
  <si>
    <t>簿记分销及金融债2024年度项目（延续）</t>
  </si>
  <si>
    <t>推进簿记系统优化升级，进一步完善系统与接口功能，配合发行政策落地，开展与市场机构上下行接口联通，实现优化需求。</t>
  </si>
  <si>
    <t>上线签报</t>
  </si>
  <si>
    <t>1、根据该项目敏捷开发计划，推进各迭代版本建设；
2、完成项目结项。</t>
  </si>
  <si>
    <t>-</t>
  </si>
  <si>
    <t>公司级</t>
  </si>
  <si>
    <t>NAFMII组（簿记）</t>
  </si>
  <si>
    <t>王海颖、范玮、赵邓、穆文思、何放、侯梦飞、盛先锋、高一鹏、刘静、石灿、梁燕飞、王芳、陈节淞、詹振国、张沛菁</t>
  </si>
  <si>
    <t>发行业务主流程拓展信息服务簿记建档系统2024-2025年度建设项目（延续）</t>
  </si>
  <si>
    <t>持续推进发行业务主流程拓展信息服务簿记建档系统2024-2025年度建设项目</t>
  </si>
  <si>
    <t>NAFMII组（簿记）、数据组</t>
  </si>
  <si>
    <t>王海颖、范玮、赵邓、穆文思、盛先锋、刘静、石灿、梁燕飞、王芳、陈节淞、詹振国、张沛菁、黄篪、张卫国、赵浩翔</t>
  </si>
  <si>
    <t>聚焦“四全两通”生态愿景开展簿记系统功能迭代升级建设</t>
  </si>
  <si>
    <t>根据簿记系统的建设需求，对系统开展功能迭代升级、性能优化、安全提升和日常维护工作，提升簿记系统服务效率，进一步提高市场成员用户体验。
1、扩容发行品种：优化金融债簿记功能，尝试拓展对国债、地方政府债等品种招标发行，探索对ABS等银行间债券市场发行的各类债券发行服务支持。
2、丰富发行方式：增加招标发行方式，支持债务融资工具、金融债（政金债为主）招标发行，并逐步探索报价、协议等发行方式与银行间债券品种的有机融合。
3、境内机构互通：与清算所推进就信用风险缓释工具、金融债、人民币债券、资产支持票据(自持)、增发债券等发行登记业务以及相关产品代码简称、已发行债券存续情况、持有人列表的数据直连。
4、境外机构互通：打造国际版发行平台，增加英文版发行人页面；
5、与协会新一代平台贯通（视新一代推进情况）：开展簿记系统和协会新一代平台贯通的适配性改造。
6、日常功能升级：响应协会有关发行业务规范的相关要求、市场成员反馈的系统优化需求，以及对前期升级功能进行优化。
7.创建分销撮合模块、实现与第三方平台及市场机构联通：一是建设拟分销债券模块，支持通过IM开展分销撮合，解决市场成员未成功申购以及申购多余债券的情况；二是将分销撮合环节联通纳入与QB、QT等第三方平台的扩展合作场景，联通市场机构，实现分销撮合意向达成后“一键分销”。
8.完善DCM与CRMW联动机制，实现CRMW投资人直接参与簿记建档系统参与分销撮合。
全面提升账户管理、簿记发行、信息服务等业务的集中运营能力。（视新一代推进情况）
9.构建统一的运营管理模块：新增运营人员排班、工作量统计分析、工作日历等功能，以提升工作效率、实现精细化管理。
10.构建统一的运营统计模块：根据各业务条线实际业务开展情况，集成处理业务数据，并根据生成的业务报表，总览业务情况，辅助提升运营服务能力。
11.提升自动化运营水平：通过文字自动识别技术等将线下人工审核优化为线上自动审核，提升人工审核效率。
12.进一步促进未公告债券服务正式发行流程，建设未公告债券市场标准</t>
  </si>
  <si>
    <t>1、根据该项目敏捷开发计划，推进项目立项；
2、根据该项目敏捷开发计划，推进各迭代版本建设。</t>
  </si>
  <si>
    <t>根据该项目敏捷开发计划，推进各迭代版本建设。</t>
  </si>
  <si>
    <t>王海颖、范玮、赵邓、穆文思、侯梦飞、盛先锋、刘静、石灿、梁燕飞、王芳、陈节淞、詹振国、张沛菁</t>
  </si>
  <si>
    <t>发行服务旅程完善，促进活跃度提升</t>
  </si>
  <si>
    <t>为簿记发行主流程全方位拓展信息服务，配合信息服务产品整体升级</t>
  </si>
  <si>
    <t>为簿记发行主流程全方位拓展信息服务，配合信息服务产品整体升级，簿记系统主流程部分功能进行优化改造：
1、配合上下行接口服务升级；
2、根据市场成员诉求，配合其他信息服务功能建设和升级；</t>
  </si>
  <si>
    <t>进一步完善簿记配合发行主流程拓展信息服务IM项目改造</t>
  </si>
  <si>
    <t>根据北金所簿记发行主流程拓展信息服务IM项目，开展簿记相关配合改造工作</t>
  </si>
  <si>
    <t>技术测试报告</t>
  </si>
  <si>
    <t>6月配合簿记发行主流程拓展信息服务IM项目完成版本2需求规格说明书。</t>
  </si>
  <si>
    <t>1、8月配合簿记发行主流程拓展信息服务IM项目推进开发测试，完成版本2技术测试报告；
2、10月配合簿记发行主流程拓展信息服务IM项目推进开发测试，完成版本3技术测试报告。</t>
  </si>
  <si>
    <t>范玮、赵邓、穆文思、盛先锋、刘静、邱思敏、王芳、陈节淞、詹振国</t>
  </si>
  <si>
    <t>交易</t>
  </si>
  <si>
    <t>增加CRMW发行二次配售功能，建立打捞机制避免发行额度浪费，提升发行效率。</t>
  </si>
  <si>
    <t>1.增加CRMW二级配售功能，匹配CRMW与标债发行结果，避免CRMW额度浪费。
2.建立打捞机制，允许CRMW及标债投资人自行申报转受让额度，系统自行匹配提升发行效率。</t>
  </si>
  <si>
    <t>3月完成立项工作，根据该项目敏捷开发计划，推进各迭代版本建设。</t>
  </si>
  <si>
    <t>根据该项目敏捷开发计划，完成各迭代版本建设。</t>
  </si>
  <si>
    <t>CFAE组</t>
  </si>
  <si>
    <t>王海颖、马凯，卢莹，刘佳昱、韩金钊、刘碧云、石灿、梁燕飞、李龙泉、张沛菁</t>
  </si>
  <si>
    <t>银行间债券市场衍生品综合服务平台建设</t>
  </si>
  <si>
    <t>在交易商协会指导下，着力建设银行间债券市场衍生品综合服务平台，形成业务方案并争取系统落地。</t>
  </si>
  <si>
    <t>1.根据监管要求、市场调研情况撰写业务需求，完成衍生品综合服务平台的需求设计、制度建设等工作；
2.面向30家重点创设机构及投资人群体，持续满足市场机构对于衍生品创设及交易的电子化需要，了解其诉求并进行市场推广。</t>
  </si>
  <si>
    <t>6月完成立项工作，根据该项目敏捷开发计划，推进各迭代版本建设。</t>
  </si>
  <si>
    <t>王海颖、马凯，卢莹，刘佳昱、韩金钊、刘碧云、梁燕飞、石灿、张沛菁、李龙泉</t>
  </si>
  <si>
    <t>投融资平台建设</t>
  </si>
  <si>
    <t>搭建投融资平台，为银行间债券市场投资人、融资人提供服务，实现银行间债券发行全环链生态服务体系的建立。</t>
  </si>
  <si>
    <t>1.服务民营企业，建立投融资平台，平台将支持轮播、重要公告，引入和整合展示网上路演、融资助手、投资助手、意向发行、融资大事件等各个系统，形成整体化的投融资服务平台；
2.实现与簿记系统未公告债券模块上下行接口对接。
3.搭建意向发行系统及微信小程序，开展广泛卖方信息征集工作，着力覆盖全市场意向发行信息并集中展示实现银行间债券发行全环链生态服务体系的建立；
4.实现债券意向发行系统与簿记系统未公告债券模块上下行接口对接。</t>
  </si>
  <si>
    <t>1、3月完成项目立项工作；
2、根据该项目敏捷开发计划，推进各迭代版本建设。</t>
  </si>
  <si>
    <t>王海颖、范玮、赵邓、穆文思、盛先锋、刘静、石灿、梁燕飞、王芳、陈节淞、李龙泉、张沛菁、黄篪、李勇辉、张朋</t>
  </si>
  <si>
    <t>现金要约收购线上化</t>
  </si>
  <si>
    <t>在交易商协会指导下，为满足便利性、效率性的市场需求，提供现金要约收购线上化功能。</t>
  </si>
  <si>
    <t>根据业务推进情况及交易商协会安排，开展现金要约收购业务线上化系统建设，拟在多元化的定价方式、统计分析等角度优化升级。</t>
  </si>
  <si>
    <t>2月完成立项工作，根据该项目敏捷开发计划，推进迭代一版本建设工作。</t>
  </si>
  <si>
    <t>根据该项目敏捷开发计划，推进迭代一版本上线，并根据项目情况推进迭代二版本建设。</t>
  </si>
  <si>
    <t>王海颖、马凯，邝文清、刘胜钰、王舒宁、李游、梁燕飞、石灿、李龙泉、张沛菁</t>
  </si>
  <si>
    <t>回售转售业务线上化</t>
  </si>
  <si>
    <t>在交易商协会指导下，为满足便利性、效率性的市场需求，提供回售转售业务线上化功能。</t>
  </si>
  <si>
    <t>根据业务推进情况及交易商协会安排，开展回售转售业务线上化系统建设，提升核心流程服务友好性同时推动上下游联通工作。</t>
  </si>
  <si>
    <t>信息服务</t>
  </si>
  <si>
    <t>响应客户诉求 服务迭代升级</t>
  </si>
  <si>
    <t>推进信息服务整体升级，进一步完善智能文档服务</t>
  </si>
  <si>
    <t>优化产品各项基础能力（NLP模型能力、PDF文档检验能力、信息抽取能力等）；拓展产品功能，进一步支持CRMW业务，丰富智能撰写、检验支持场景；优化产品展示能力，进一步提升用户体验；根据业务需要、监管指引及市场成员反馈，升级产品各项功能。</t>
  </si>
  <si>
    <t>数据组</t>
  </si>
  <si>
    <t>王海颖、黄篪、赵浩翔、刘春博、梁先锋、王亚婧、董星、郑重</t>
  </si>
  <si>
    <t>推进信息服务整体升级，进一步完善债数通服务</t>
  </si>
  <si>
    <t>根据市场成员诉求和业务发展需要，建设和升级数据信息服务功能；通过接口方式为机构提供存续期产品、监测预警信息、募集资金用途信息以及其他数据信息，持续提升交互效率。其他信息服务功能建设，结合实际需要开展建设和升级，以及对上述需求内容进行相应调整。
北金所簿记发行主流程拓展信息服务IM项目-债数通配合改造部分</t>
  </si>
  <si>
    <t>王海颖、黄篪、张卫国、周留凯、王亚婧、曾阳、郑重</t>
  </si>
  <si>
    <t>推进信息服务整体升级，进一步完善开放接口服务</t>
  </si>
  <si>
    <t>新增和优化簿记上行接口按比例投单功能，结合业务规则变化优化簿记下行接口，建设文件管理、债数通等接口。结合发行交易等业务和信息服务产品，优化升级市场机构、第三方机构数据上下行服务。</t>
  </si>
  <si>
    <t>王海颖、黄篪、白晋虎、余政泽、王亚婧、詹振国、梁燕飞</t>
  </si>
  <si>
    <t>推进信息服务整体升级，进一步完善文件管理服务</t>
  </si>
  <si>
    <t>优化文件归集、接口辅助、投单助手按比例投单等各项功能，结合业务发展拓展应用场景，提升文件管理和交互能力。</t>
  </si>
  <si>
    <t>配合业务需求拟定</t>
  </si>
  <si>
    <t>前提：6月收到需求
2025年8月完成立项
2025年12月完成迭代一技术测试</t>
  </si>
  <si>
    <t>王海颖、马凯、贺莎莎、雷琪、李健壮、梁燕飞、邱思敏、詹振国</t>
  </si>
  <si>
    <t>推进信息服务整体升级，进一步完善承销分析服务</t>
  </si>
  <si>
    <t>根据市场反馈、业务开展等情况，对已上线系统涉及客户端的用户操作习惯、页面展示、分析维度以及中心端的权限控制、统计功能等逐步开展多期迭代。</t>
  </si>
  <si>
    <t>王海颖、黄篪、李勇辉、孙佩霞、刘澍、张朋、王亚婧、詹振国、王芳</t>
  </si>
  <si>
    <t>推进信息服务整体升级，进一步完善即时通讯服务</t>
  </si>
  <si>
    <t xml:space="preserve">升级即时通讯工具基础功能、业务操作功能，包括PC端和移动端。根据业务发展需要拓展应用场景，根据市场需求优化升级功能。
</t>
  </si>
  <si>
    <t>系统设计说明书</t>
  </si>
  <si>
    <t>6月完成项目立项。</t>
  </si>
  <si>
    <t>12月完成系统设计说明书。</t>
  </si>
  <si>
    <t>王海颖、马凯，周明我，王维彤，李健壮，梁燕飞、邱思敏、詹振国</t>
  </si>
  <si>
    <t>推进信息服务整体升级，进一步完善网上路演服务</t>
  </si>
  <si>
    <t>实现网上路演与发行等服务融合，嵌入发行系统，根据业务发展以及市场需求升级产品</t>
  </si>
  <si>
    <t>王海颖、黄篪、刘澍、崔雨瑄、王亚婧、詹振国、郑重</t>
  </si>
  <si>
    <t>推进信息服务整体升级，进一步完善发行人融资助手服务</t>
  </si>
  <si>
    <t>发行人融资助手服务以发行人的生命周期为主线，以发行人具体业务场景需要为关注点，从融资准备、注册备案、发行分销、债券存续4个阶段入手，利用智能文档、债数通、即时通讯工具、旗舰店、网上路演、主承特征分析、北金所移动客户端等已有、在建信息服务功能，以全局观念和系统性思维推进发行人服务建设，将不同的功能模块或产品整合形成有机统一的发行人服务平台。</t>
  </si>
  <si>
    <t>黄篪、李勇辉、崔雨瑄、刘澍、张朋、王亚婧、曾阳、王芳</t>
  </si>
  <si>
    <t>北金所云文件管理系统建设项目(二阶段)</t>
  </si>
  <si>
    <t>持续推进北金所云文件管理系统建设项目建设工作</t>
  </si>
  <si>
    <t xml:space="preserve">
技术测试报告</t>
  </si>
  <si>
    <t>3月完成一版本需求规格说明书</t>
  </si>
  <si>
    <t>7月完成二版本系统需求规格说明书
8月完成一版本技术测试
11月完成二版本技术测试</t>
  </si>
  <si>
    <t>王海颖、马凯、贺莎莎、周明我、雷琪、李健壮、李游、梁燕飞、邱思敏、詹振国</t>
  </si>
  <si>
    <t>CFAE平台智能文档撰写辅助工具三期项目（延续）</t>
  </si>
  <si>
    <t>智能文档服务：包括优化产品各项基础能力，完善相关基础服务和应用范围；丰富产品功能，支持注册/发行文件间交叉检验等场景；优化产品展示能力，进一步提升用户体验；根据监管指引及市场成员反馈，升级智能文档业务规则检验模块。</t>
  </si>
  <si>
    <t>4月完成一阶段技术测试；</t>
  </si>
  <si>
    <t>9月底完成项目整体技术测试</t>
  </si>
  <si>
    <t>王海颖、黄篪、徐遣、赵浩翔、刘春博、梁先锋、崔雨瑄、王笑玲、刘静、王亚婧、郑重、董星</t>
  </si>
  <si>
    <t>发行业务主流程拓展信息服务智能文档系统2024-2025年度建设项目（延续）</t>
  </si>
  <si>
    <t>智能文档撰写相关功能优化。</t>
  </si>
  <si>
    <t>黄篪、赵浩翔、刘春博、梁先锋、王亚婧、董星、郑重</t>
  </si>
  <si>
    <t>发行业务主流程拓展信息服务云文件管理系统2024-2025年度建设项目（延续）</t>
  </si>
  <si>
    <t>建设为用户提供以文件交互，文件管理为基本服务内容的功能。</t>
  </si>
  <si>
    <t>2月完成迭代1技术测试报告；
4月完成迭代2技术测试报告。</t>
  </si>
  <si>
    <t>王海颖、马凯，周明我，王维彤，李健壮，雷琪，梁燕飞、詹振国</t>
  </si>
  <si>
    <t>发行业务主流程拓展信息服务债数通系统2024-2025年度建设项目（延续）</t>
  </si>
  <si>
    <t>发行交易流程相关数据结构化或跳转链接服务。1、信息披露便捷性相关深度资料功能服务；2、根据市场成员诉求，建设和升级数据信息服务相关功能。</t>
  </si>
  <si>
    <t>CFAE平台银行间债券市场发行服务之承销特征分析系统建设项目及APP配合改造（延续）</t>
  </si>
  <si>
    <t>银行间债券市场发行服务之承销特征分析系统建设项目是针对发行人群体提供服务，以主承销商为分析对象，通过多维、动态、可视的方式予以展示，完善承揽环节的信息交互渠道。</t>
  </si>
  <si>
    <t>王海颖、黄篪、李勇辉、孙佩霞、刘澍、张朋、王亚婧、詹振国、郑重</t>
  </si>
  <si>
    <t>互动渠道服务升级</t>
  </si>
  <si>
    <t>CFAE平台北金所移动端2024-2025年度建设项目（延续）</t>
  </si>
  <si>
    <t>发行交易流程相关互动渠道工具服务。
1、按照公司统一工作部署，配合各业务系统，开展北金所APP银行间市场成长版服务、IM对接改造等功能建设及APP系统升级优化工作。
2、根据市场成员诉求，建设和升级互动渠道服务相关功能。</t>
  </si>
  <si>
    <t>王海颖、黄篪、刘澍、张朋、王亚婧、曾阳、郑重</t>
  </si>
  <si>
    <t>北金所簿记发行主流程拓展信息服务IM项目及APP配合改造（延续）</t>
  </si>
  <si>
    <t>为发行主流程拓展信息服务提供即时通讯能力建设，支持用户使用北金所自建IM完成线上沟通及组团、询价等业务操作，包括PC端和移动端。</t>
  </si>
  <si>
    <t>5月完成版本1定制化功能技术测试报告；
6月完成版本2需求规格说明书。</t>
  </si>
  <si>
    <t>8月完成版本2技术测试报告；
10月完成版本3技术测试报告。</t>
  </si>
  <si>
    <t>王海颖、马凯，周明我，王维彤，李健壮，梁燕飞、郑重、邱思敏、詹振国</t>
  </si>
  <si>
    <t>聚焦数据应用场景，为银行间市场提供数据支持</t>
  </si>
  <si>
    <t>NAFMII平台开放接口服务运营技术支持</t>
  </si>
  <si>
    <t>支持协会开放接口运营技术支持服务工作，支持市场机构开展接口接入的联调测试等相关工作。</t>
  </si>
  <si>
    <t>工作总结报告</t>
  </si>
  <si>
    <t>按照要求完成协会开放接口服务日常运营技术支持</t>
  </si>
  <si>
    <t>协同任务</t>
  </si>
  <si>
    <t>王海颖、黄篪、孙佩霞、白晋虎、余政泽、王芳、梁燕飞、郑重</t>
  </si>
  <si>
    <t>CFAE平台开放接口服务运营技术支持</t>
  </si>
  <si>
    <t>支持北金所开放接口运营技术支持服务工作，支持市场机构开展接口接入的联调测试等相关工作</t>
  </si>
  <si>
    <t>按照要求完成北金所开放接口服务日常运营技术支持</t>
  </si>
  <si>
    <t>黄篪、孙佩霞、白晋虎、余政泽、李龙泉、王芳、梁燕飞、郑重</t>
  </si>
  <si>
    <t>数据服务</t>
  </si>
  <si>
    <t>大屏展示系统信息商接口改造</t>
  </si>
  <si>
    <t>根据外汇交易中心对信息商CMDS接口升级改造的需要，配合做好大屏展示等相关系统接口改造。</t>
  </si>
  <si>
    <t>4月完成立项；</t>
  </si>
  <si>
    <t>12月完成技术测试</t>
  </si>
  <si>
    <t>部门级</t>
  </si>
  <si>
    <t>王海颖、黄篪、余政泽、赵浩翔、董星、邱思敏、王芳</t>
  </si>
  <si>
    <t>建造线上化数据处理功能，提升数据应用处理能力</t>
  </si>
  <si>
    <t>根据公司数据应用需求及数据管理需要，建立或完善数据应用系统功能，建立数据引入、存储、加工、展现、相关功能。</t>
  </si>
  <si>
    <t>1.提升数据资源目录管理相关管理功能，完成涵盖数据资源目录管理、数据目录服务、目录安全管理等功能在内的方案设计、需求说明编制；
2.提升数据收集、存储及处理功能，完成涵盖数据调度及存储、报表设计、数据处理工具集成等功能在内的方案设计、需求说明编制；
3.提升数据可视化及安全管理功能，完成涵盖数据可视化展现、报表分发共享等功能的方案设计、需求说明编制。</t>
  </si>
  <si>
    <t>立项纪要</t>
  </si>
  <si>
    <t>前提：9月收到需求
12月完成立项</t>
  </si>
  <si>
    <t>黄篪、李勇辉、孙佩霞、周留凯、石灿、董星、王笑玲、郑重</t>
  </si>
  <si>
    <t>受托服务</t>
  </si>
  <si>
    <t>做好协会授权运营系统建设工作</t>
  </si>
  <si>
    <t>N+X名单外部服务组件建设项目</t>
  </si>
  <si>
    <t>按照新一代应用架构规划，将N+X系统（老）改造为聚焦名单外部服务的组件：
一是按新一代建设规划要求进行N+X名单外部服务业务功能优化重构。N+X名单外部服务功能包括：白名单外部传输管理、服务参数配置管理，对接统一用户中心、统一产品中心等公共服务组件。
二是按新一代建设规划要求进行N+X名单外部服务非功能性需求优化，包括技术栈升级、信创改造以及接口规范化设计。</t>
  </si>
  <si>
    <t>需求规格说明书</t>
  </si>
  <si>
    <t>配合协会综合平台建设工作组完成项目需求沟通及其他立项准备工作。</t>
  </si>
  <si>
    <t>根据协会建设计划，预计于7月下发委托建设任务，
9月完成合同签订，12月完成需求分析，进入开发阶段。</t>
  </si>
  <si>
    <t>NAFMII组</t>
  </si>
  <si>
    <t>王海颖、范玮、马雪亮、刘静、殷琪、王芳、曾阳</t>
  </si>
  <si>
    <t>CRMS系统升级项目</t>
  </si>
  <si>
    <t>根据新一代架构设计，与协会市场监测板块设计，通过改造CRMS系统，一是完成对接用户中心、门户渠道改造，同时对系统现有功能菜单进行调整；二是新增CRMW、CLN创设备案监测及信息查询功能。</t>
  </si>
  <si>
    <t>根据协会建设计划，预计于8月下发委托建设任务，
10月完成合同签订，12月完成需求分析，进入开发阶段。</t>
  </si>
  <si>
    <t>王海颖、范玮、李超、刘静、殷琪、王芳、曾阳</t>
  </si>
  <si>
    <t>存续期信息系统改造项目</t>
  </si>
  <si>
    <t>按照新一代业务架构和应用组件统一规划，建设市场自律及市场监测中的案件核查管理、风险信息管理与分析，接入新一代用户中心及渠道管理，将风险信息管理与分析、案件核查管理拆分为独立组件。</t>
  </si>
  <si>
    <t>王海颖、范玮、刘洋、刘静、殷琪、郑重、曾阳</t>
  </si>
  <si>
    <t>存续期服务系统改造项目</t>
  </si>
  <si>
    <t>按照新一代业务架构和应用组件统一规划，对存续期服务系统进行全面改造，接入新一代用户中心及渠道管理，将存续期服务、合规督导、主动债务管理拆分为独立组件。</t>
  </si>
  <si>
    <t>综合平台注册专家智能服务系统优化项目（延续）</t>
  </si>
  <si>
    <t>基于协会的统一部署安排，依照协会综合业务和信息服务平台项目规划，开展综合平台注册专家智能服务系统优化项目建设工作</t>
  </si>
  <si>
    <t>完成系统上线工作。</t>
  </si>
  <si>
    <t>王海颖、范玮、程亚伦、刘静、殷琪、梁燕飞、董星</t>
  </si>
  <si>
    <t>综合平台投资者备案服务系统二期建设项目（延续）</t>
  </si>
  <si>
    <t>基于协会的统一部署安排，依照协会综合业务和信息服务平台项目规划，开展综合平台投资者备案服务系统二期建设工作</t>
  </si>
  <si>
    <t>完成系统开发测试，进入技术验收阶段</t>
  </si>
  <si>
    <t>完成系统上线</t>
  </si>
  <si>
    <t>王海颖、范玮、马雪亮、刘静、殷琪、郑重、王芳、董星</t>
  </si>
  <si>
    <t>综合平台存续期服务系统三期项目（延续）</t>
  </si>
  <si>
    <t>根据存续期服务系统三期项目建设计划，完成3个分阶段版本的建设工作。</t>
  </si>
  <si>
    <t>王海颖、范玮、刘洋、白晋虎、刘静、殷琪、郑重、曾阳、张沛菁</t>
  </si>
  <si>
    <t>配合协会推进受托业务系统新一代建设</t>
  </si>
  <si>
    <t>根据综合平台建设工作组统一部署，支持新一代综合平台首期项目中的渠道层、应用层以及能力层的接入及适配。主要覆盖由北金所承建的存续期服务系统、集中簿记建档系统、N+X系统、信息服务系统、APP相关配合改造工作。</t>
  </si>
  <si>
    <t>根据协会建设计划，预计4月下发委托建设任务，
6月完成合同签订，进入需求分析阶段。</t>
  </si>
  <si>
    <t>完成系统开发，进入开发测试阶段。</t>
  </si>
  <si>
    <t>王海颖、范玮、赵邓、李超、程亚伦、刘洋、侯梦飞、李天波、马雪亮、刘静、殷琪、王芳、陈节淞、曾阳、张沛菁</t>
  </si>
  <si>
    <t>综合平台2024年延续及2025年新增升级包建设工作</t>
  </si>
  <si>
    <t>根据协会安排，预留共计3个升级包项目，以及2024年11个延续性升级包建设工作。</t>
  </si>
  <si>
    <t>各项目里程碑交付物（需求规格说明书\开发测试报告\验收报告\上线签报）</t>
  </si>
  <si>
    <t>根据协会建设计划，按要求推动下发升级包建设工作。</t>
  </si>
  <si>
    <t>王海颖、范玮、李超、李天波、刘洋、程亚伦、马雪亮、白晋虎、殷琪、王芳、郑重、王芳、董星、张沛菁</t>
  </si>
  <si>
    <t>综合平台维护类开发任务</t>
  </si>
  <si>
    <t>用于NAFMII生产维护类开发任务，对NAFMII平台生产系统各类维护类工作进行技术支持和解决。</t>
  </si>
  <si>
    <t>各维护类开发任务的里程碑交付物（开发测试报告\验收报告\上线签报）</t>
  </si>
  <si>
    <t>根据协会统筹安排，按照计划推进各维护类开发任务</t>
  </si>
  <si>
    <t>王海颖、范玮、李超、李天波、刘洋、程亚伦、马雪亮、殷琪、王芳、郑重、黄篪、李勇辉、周留凯</t>
  </si>
  <si>
    <t>开展NAFMII生产技术支持工作</t>
  </si>
  <si>
    <t>开展NAFMII生产技术支持工作，工作内容包括但不限于根据业务部门、系统运行部门的要求，对NAFMII平台生产系统的运行过程中反馈的各类功能、非功能、信息安全等方面问题进行技术支持和解决。</t>
  </si>
  <si>
    <t>各项技术支持工作的技术支持单或其他相关工作依据</t>
  </si>
  <si>
    <t>按照各项技术支持单或其他工作事项要求做好各类技术支持工作</t>
  </si>
  <si>
    <t>NAFMII组、数据组</t>
  </si>
  <si>
    <t>范玮、李超、李天波、刘洋、程亚伦、马雪亮、刘静、殷琪、王芳、郑重、詹振国、曾阳、薛飞、
黄篪、李勇辉、张朋、周留凯</t>
  </si>
  <si>
    <t>新一代</t>
  </si>
  <si>
    <t>推动新一代平台第一第二阶段建设</t>
  </si>
  <si>
    <t>开展新一代平台建设工作</t>
  </si>
  <si>
    <t>在新一代咨询成果基础上，开展发行平台的建设工作。（新一代-应用建设-发行平台项目）</t>
  </si>
  <si>
    <t>3月完成发行平台的需求规格说明书编写工作，启动系统设计工作，按计划启动编码实施。</t>
  </si>
  <si>
    <t>按计划完成发行平台编码实施及相关
测试工作。</t>
  </si>
  <si>
    <t>王海颖、赵邓、穆文思、何放、刘静、王亚婧、梁燕飞、王芳、陈节淞、詹振国、李龙泉、王笑玲</t>
  </si>
  <si>
    <t>在新一代咨询成果基础上，开展渠道端的建设工作。（新一代-应用建设-渠道端项目）</t>
  </si>
  <si>
    <t>1月完成需求规格说明书编制及审批；
3月完成渠道端的系统设计工作，启动编码实施</t>
  </si>
  <si>
    <t>按计划完成渠道端编码实施及技术测试工作。</t>
  </si>
  <si>
    <t>王海颖、马凯，卢莹，雷琪、刘佳昱、刘静、王亚婧、陈节淞、詹振国、李龙泉、王笑玲、梁燕飞、张朋、孙佩霞</t>
  </si>
  <si>
    <t>在新一代咨询成果基础上，开展参与人管理的建设工作。（新一代-应用建设-参与人管理项目）</t>
  </si>
  <si>
    <t>1月完成需求规格说明书编制及审批；
3月完成系统设计说明书编制及审批；
上半年按计划推项目开发工作。</t>
  </si>
  <si>
    <t>根据项目计划情况完成厂商测试和技术测试。</t>
  </si>
  <si>
    <t>王海颖、马凯，邝文清、刘海涛、王维彤、梁燕飞、刘静、王亚婧、陈节淞、詹振国、李龙泉、王笑玲</t>
  </si>
  <si>
    <t>在新一代咨询成果基础上，开展运营平台建设工作。（新一代-应用建设-运营平台项目）</t>
  </si>
  <si>
    <t>王海颖，马凯，王雷，王舒宁、李龙泉、刘静、梁燕飞、王亚婧、陈节淞、詹振国、李龙泉、王笑玲</t>
  </si>
  <si>
    <t>在新一代咨询成果基础上，开展产品中心的建设工作。（新一代-应用建设-产品中心项目）</t>
  </si>
  <si>
    <t>3月完成产品中心的系统设计工作，启动编码实施</t>
  </si>
  <si>
    <t>按计划完成产品中心编码实施及相关
测试工作。</t>
  </si>
  <si>
    <t>王海颖、赵邓、穆文思、高一鹏、刘静、王亚婧、陈节淞、王芳、詹振国、李龙泉、王笑玲</t>
  </si>
  <si>
    <t>在新一代咨询成果基础上，开展新一代平台应用建设。（新一代-应用建设-基础设施直连项目）</t>
  </si>
  <si>
    <t>6月完成开发测试</t>
  </si>
  <si>
    <t>王海颖、黄篪、白晋虎、余政泽、刘静、王亚婧、陈节淞、詹振国、李龙泉、王笑玲、梁燕飞</t>
  </si>
  <si>
    <t>推动新一代平台第二阶段配合业务创新适配性改造</t>
  </si>
  <si>
    <t>新一代平台渠道、参与人管理中心、产品中心、运营中心等公共能力配合发行中心、信息服务中心、衍生品平台、交易服务中心等新增业务创新需求的适配性改造</t>
  </si>
  <si>
    <t>1、组织提出新一代平台第二阶段配合业务创新适配性改造项目业务方案、业务需求，完成发行中心、信息服务中心、衍生品平台、交易服务中心等新增业务创新需求向新一代平台的迁移工作，组织推动参与人、渠道、运营和产品等中心的公共能力适配改造；
2、配合技术立项，进行需求细化、配合需求分析。</t>
  </si>
  <si>
    <t>新一代发行平台、产品中心实施过程材料
Ukey：合同</t>
  </si>
  <si>
    <t>1、3月完成簿记系统新增需求（截止3月）追加至新一代发行平台、产品中心的需求分析及系统设计中；
2、根据簿记系统新增需求，持续推动编码实施阶段需求变更。
3.Ukey信创改造：2025年6月完成采购</t>
  </si>
  <si>
    <t>根据簿记系统新增需求，持续推动新一代发行平台、产品中心编码实施阶段需求变更。
Ukey信创改造：完成开发工作。</t>
  </si>
  <si>
    <t>CFAE组、NAFMII组（簿记）</t>
  </si>
  <si>
    <t>王海颖，马凯、王雷，王舒宁、赵邓、穆文思、何放、侯梦飞、高一鹏、刘静、石灿、李龙泉、王笑玲、梁燕飞、王芳</t>
  </si>
  <si>
    <t>新一代技术平台信息服务配套建设工作</t>
  </si>
  <si>
    <t>开展旗舰店、CRMW估值等信息服务系统配合新一代的配合改造工作。</t>
  </si>
  <si>
    <t>6月完成采购</t>
  </si>
  <si>
    <t>王海颖、黄篪、赵浩翔、张朋、刘静、王亚婧、詹振国、李龙泉、郑重、王芳</t>
  </si>
  <si>
    <t>新一代信息服务相关应用建设</t>
  </si>
  <si>
    <t>北金所新一代平台应用建设项目-开放接口系统配套改造项目</t>
  </si>
  <si>
    <t>按照计划推进北金所新一代平台应用建设项目-开放接口系统配套改造项目</t>
  </si>
  <si>
    <t>4月完成采购</t>
  </si>
  <si>
    <t>王海颖、黄篪、白晋虎、余政泽、刘静、王亚婧、陈节淞、詹振国、李龙泉、梁燕飞</t>
  </si>
  <si>
    <t>北金所新一代平台应用建设项目-债数通系统</t>
  </si>
  <si>
    <t>按照计划推进北金所新一代平台应用建设项目-债数通系统</t>
  </si>
  <si>
    <t>王海颖、黄篪、张卫国、周留凯、刘静、王亚婧、陈节淞、詹振国、曾阳、郑重</t>
  </si>
  <si>
    <t>北金所新一代平台应用建设项目--智能文档撰写辅助工具</t>
  </si>
  <si>
    <t>按照计划推进北金所新一代平台应用建设项目--智能文档撰写辅助工具</t>
  </si>
  <si>
    <t>王海颖、黄篪、赵浩翔、徐遣、刘静、王亚婧、陈节淞、詹振国、董星、郑重</t>
  </si>
  <si>
    <t>新一代平台应用建设-北金所移动端项目</t>
  </si>
  <si>
    <t>按照计划推进新一代平台应用建设-北金所移动端项目</t>
  </si>
  <si>
    <t>王海颖、黄篪、刘澍、张朋、刘静、王亚婧、詹振国、曾阳、王芳</t>
  </si>
  <si>
    <t>新一代技术平台建设项目及技术支持</t>
  </si>
  <si>
    <t>1. 开发平台建设：持续开展开发平台相关组件优化等建设工作；
2. 开发平台技术支持：持续为协会及北金所新一代平台应用建设提供支持；
3. 公共服务技术支持：工作日历、消息中心等公共服务为北金所新一代平台建设提供技术支持。</t>
  </si>
  <si>
    <t>1. 开发平台建设：持续开展开发平台组件优化等建设工作；
2. 开发平台技术支持：持续为协会及北金所新一代平台应用建设提供支持；
3. 公共服务技术支持：持续开展公共服务为新一代平台建设提供技术支持以及公共服务积累沉淀。</t>
  </si>
  <si>
    <t>架构组</t>
  </si>
  <si>
    <t>王海颖、陈节淞、曾阳、李龙泉、薛飞、董星</t>
  </si>
  <si>
    <t>信创改造</t>
  </si>
  <si>
    <t>持续加强IT能力建设</t>
  </si>
  <si>
    <t>发票管理系统信创改造项目</t>
  </si>
  <si>
    <t>为贯彻落实国家信创战略和协会关于信创工作的统一要求，按照公司落实信创战略2024-2027年工作计划，对发票管理系统进行信创改造。</t>
  </si>
  <si>
    <t>6月完成发票系统信创改造业务需求说明书，并通过需求说明书评审流程</t>
  </si>
  <si>
    <t>前提：6月信创环境准备就绪
8月完成立项工作，通过科委会审议
10月完成采购工作，完成合同签订
12月完成需求规格说明书编制工作，并完成会签</t>
  </si>
  <si>
    <t>马凯、王维彤、邱思敏、梁燕飞、董星、王雷、刘碧云、刘佳昱、周留凯</t>
  </si>
  <si>
    <t>无纸化电子签章系统信创改造项目</t>
  </si>
  <si>
    <t>为贯彻落实国家信创战略和协会关于信创工作的统一要求，按照公司落实信创战略2024-2027年工作计划，对无纸化电子签章系统进行信创改造。</t>
  </si>
  <si>
    <t>签订合同</t>
  </si>
  <si>
    <t>按计划推进项目立项准备工作</t>
  </si>
  <si>
    <t>12月底完成项目立项及采购工作</t>
  </si>
  <si>
    <t>王海颖、陈节淞、薛飞、董星、石灿</t>
  </si>
  <si>
    <t>RA数字证书系统信创改造项目</t>
  </si>
  <si>
    <t>为贯彻落实国家信创战略和协会关于信创工作的统一要求，按照公司落实信创战略2024-2027年工作计划，对RA数字证书系统进行信创改造。</t>
  </si>
  <si>
    <t>北金所门户网站信创改造项目</t>
  </si>
  <si>
    <t>为贯彻落实国家信创战略和协会关于信创工作的统一要求，按照公司落实信创战略2024-2027年工作计划，对北金所门户网站进行信创改造。</t>
  </si>
  <si>
    <t>8月完成立项</t>
  </si>
  <si>
    <t>12月完成项目采购。</t>
  </si>
  <si>
    <t>王海颖、黄篪、徐遣、崔雨瑄、石灿、董星、郑重</t>
  </si>
  <si>
    <t>外部数据接入管理系统信创改造项目</t>
  </si>
  <si>
    <t>为贯彻落实国家信创战略和协会关于信创工作的统一要求，按照公司落实信创战略2024-2027年工作计划，对外部数据接入管理系统进行信创改造。</t>
  </si>
  <si>
    <t>王海颖、黄篪、余政泽、白晋虎、石灿、董星、郑重</t>
  </si>
  <si>
    <t>北金所财务U8系统信创改造</t>
  </si>
  <si>
    <t>为贯彻落实国家信创战略和协会关于信创工作的统一要求，按照公司落实信创战略2024-2027年工作计划，对财务U8系统进行信创改造。</t>
  </si>
  <si>
    <t>立项签报/纪要</t>
  </si>
  <si>
    <t>12月底完成立项</t>
  </si>
  <si>
    <t>马凯、刘胜钰、、梁燕飞、董星、邱思敏、李龙泉</t>
  </si>
  <si>
    <t>项目管理系统信创改造项目</t>
  </si>
  <si>
    <t>为贯彻落实国家信创战略和协会关于信创工作的统一要求，按照公司落实信创战略2024-2027年工作计划，对项目管理系统进行信创改造。</t>
  </si>
  <si>
    <t>质量组</t>
  </si>
  <si>
    <t>王海颖、刘静、殷琪、邱思敏、董星、李龙泉、郑重</t>
  </si>
  <si>
    <t>持续推进商用密码改造工作</t>
  </si>
  <si>
    <t>在前期重点领域商用密码应用风险排查结果的基础上，开展相关应用系统商用密码改造工作</t>
  </si>
  <si>
    <t>按计划推进项目需求梳理形成技术方案</t>
  </si>
  <si>
    <t>12月底完成债转股信息报送平台、竞价系统项目改造工作；
开放接口、北金所官网完成合同签署，进入开发阶段。</t>
  </si>
  <si>
    <t>架构组、数据组、CFAE组</t>
  </si>
  <si>
    <t>王海颖、陈节淞、黄篪、董星、徐遣、白晋虎、马凯、卢莹、雷琪、石灿、李龙泉</t>
  </si>
  <si>
    <t>内控平台</t>
  </si>
  <si>
    <t>财务管理系统建设</t>
  </si>
  <si>
    <t>财务管控系统三期项目（延续）</t>
  </si>
  <si>
    <t>通过财务管控系统三期项目，建立公司资金管理模块和管理报表平台，加强财务管控和决策支持能力，提升财务管控规范化程度和效率。</t>
  </si>
  <si>
    <t>6月底完成系统设计</t>
  </si>
  <si>
    <t>12月底完成技术测试</t>
  </si>
  <si>
    <t>王海颖、马凯，刘碧云、韩金钊、梁燕飞、董星、邱思敏、</t>
  </si>
  <si>
    <t>项目管理系统建设</t>
  </si>
  <si>
    <t>项目管理系统三期优化（延续）</t>
  </si>
  <si>
    <t>一是优化项目流程，将部分线下工作（如预审）等纳入线上化管理；二是建立领导驾驶舱，提供数字化视图；三是通过将需求评估单内嵌，并将数据流转至其他环节，提升需求管理的数字化水平；四是根据使用情况对现有功能进行调优，提高系统交互的易用性。</t>
  </si>
  <si>
    <t>2月底完成上线</t>
  </si>
  <si>
    <t>王海颖、刘静、殷琪、邱思敏、董星、郑重</t>
  </si>
  <si>
    <t>推动内控体系建设持续精进完善</t>
  </si>
  <si>
    <t>内控系统升级建设第一阶段项目</t>
  </si>
  <si>
    <t>结合内控系统升级建设项目完善流程建模结果，开展内控系统升级建设第一阶段项目</t>
  </si>
  <si>
    <t>前提：3月底收到需求
6月底完成立项，开展采购工作</t>
  </si>
  <si>
    <t>前提：3月底收到需求
12月底完成采购，开展需求分析工作</t>
  </si>
  <si>
    <t>王海颖、刘静、王亚婧、石灿、邱思敏、董星</t>
  </si>
  <si>
    <t>财务管控系统配合0A系统升级改造</t>
  </si>
  <si>
    <t>根据内控系统升级整体工作成果配合0A系统升级对财务管控系统进行配套改造</t>
  </si>
  <si>
    <t>前提:3月底收到需求
6月底完成立项</t>
  </si>
  <si>
    <t>前提:3月底收到需求
12月底完成采购</t>
  </si>
  <si>
    <t>王海颖、马凯、王雷、梁燕飞、董星、邱思敏</t>
  </si>
  <si>
    <t>优化用友账务系统数据及报表管理平台</t>
  </si>
  <si>
    <t>财务用友账务系统数据及报表管理平台</t>
  </si>
  <si>
    <t>通过建立财务用友账务系统数据及报表管理平台，实现公司账务数据的跨年度、跨账套、分部门查询和提取，支持公司财务报表按照汇总、财务、结算维度生成，支持公司各类内部财务管理报表的数据提取和更新。</t>
  </si>
  <si>
    <t>前提：3月中收到需求
5月完成立项，6月完成采购</t>
  </si>
  <si>
    <t>前提：3月中收到需求
9月底完成技术测试</t>
  </si>
  <si>
    <t>王海颖、马凯、刘胜钰、梁燕飞、董星、邱思敏</t>
  </si>
  <si>
    <t>质量及架构</t>
  </si>
  <si>
    <t>持续推进公共服务组件建设</t>
  </si>
  <si>
    <t>持续支持非新一代系统公共服务组件的应用系统对接及优化</t>
  </si>
  <si>
    <t>1.持续支持非新一代系统公共服务组件的应用系统对接及优化</t>
  </si>
  <si>
    <t>王海颖、陈节淞、曾阳、薛飞、董星</t>
  </si>
  <si>
    <t>加强技术架构管控工作，提升应用系统建设效率</t>
  </si>
  <si>
    <t>1、北金所非新一代系统架构评审
2、方案落实与上线保障工作</t>
  </si>
  <si>
    <t>1. 参与并标准化项目各类相关评审
2. 重点项目、核心业务场景、困难或复杂技术问题及新技术应用等方面进行技术攻关保障</t>
  </si>
  <si>
    <t>1.按照各项目计划完成相关的技术评审
2.保证各项目按照既定的方案落地实施并平稳上线</t>
  </si>
  <si>
    <t>陈节淞、李龙泉、曾阳、詹振国、董星</t>
  </si>
  <si>
    <t>持续加强测试工作</t>
  </si>
  <si>
    <t>1、开展NAFMII平台系统的系统测试工作及NAFMII平台系统技术支持类测试任务，保障功能测试质量；
2、开展NAFMII平台性能测试质量保障工作；</t>
  </si>
  <si>
    <t>1、开展NAFMII平台系统的系统测试工作，保障功能测试质量；
2、开展NAFMII平台性能测试质量保障工作。</t>
  </si>
  <si>
    <t>按照NAFMII平台各项目建设的实际开展情况推进重点项目技术测试工作</t>
  </si>
  <si>
    <t>王海颖、刘静、梁燕飞、郑重、王芳</t>
  </si>
  <si>
    <t>开展CFAE平台系统的功能测试及技术支持类测试任务工作，按计划完成CFAE平台系统相应自动化测试工作，开展CFAE平台性能测试质量保障工作。</t>
  </si>
  <si>
    <t>1、开展CFAE平台系统的系统测试工作及技术支持类测试任务，保障功能测试质量；
2、按计划完成CFAE平台系统已有自动化测试脚本的维护及新增/变更需求的自动化脚本编写，根据项目实施计划完成自动化测试执行工作；
3、开展CFAE平台性能测试质量保障工作。</t>
  </si>
  <si>
    <t>按照CFAE平台各项目建设的实际开展情况推进重点项目技术测试工作</t>
  </si>
  <si>
    <t>UI设计工作</t>
  </si>
  <si>
    <t>1、加强UI/UE设计应用系统建设全过程支持；
2、支持协会、北金所新一代平台建设UI设计工作；
3、支持信息服务部项目UI设计工作；
4、其他类设计工作（视频制作、AI设计研究落地）</t>
  </si>
  <si>
    <t>加强UI/UE设计应用系统建设全过程的支持，尤其是需求阶段的交互设计，紧跟协会交互和UI设计规范，提升应用系统用户体验。
1.持续支持NAFMII平台重点项目设计工作，交互设计、UI设计、icon设计、设计检查等，持续保证设计环节各项成果符合上线标准，保障开发工作顺利进行；
2.支持协会UI设计工作相关标准规范建设，交付规范标准文档及检查清单；
3.持续支持CFAE平台重点项目设计工作，前期设计调研交互设计，中期UI设计、icon设计设，后期设计走查设计复盘，加强和项目其他环节的互动配合、线上协同。持续保证计环节各项成果符合上线标准，保障开发工作顺利进行；
4.配合业务推广宣传制作视频内容；调研AI视觉类软件在设计环节中的应用，辅助设计工作落地。</t>
  </si>
  <si>
    <t>1.支持NAFMII平台重点项目设计工作，交付交互设计原型demo、UI设计成果图、走查检查单及评审检查单；
2.支持协会UI设计工作相关标准规范建设，交付规范标准文档及检查清单；
3.支持CFAE平台重点项目设计工作，交付交互设计原型demo、UI设计成果图、banner图、走查检查单及评审检查单；
4.结合新一代完善CFAE平台设计规范体系，结合新一代交付设计规范成果图。
5.AI视觉类软件使用及调研报告</t>
  </si>
  <si>
    <t>1.持续支持NAFMII平台重点项目设计工作，设计环节各项成果符合上线标准，保障开发工作顺利进行；
2.支持协会UI设计规范建设，对交付成果开展培训进入试行，根据试行情况对标准规范进行调整更新。
3.持续支持CFAE平台重点项目设计工作，设计环节各项成果符合上线标准，保障开发工作顺利进行；
4.结合新一代持续更新优化CFAE平台设计规范体系，交付设计规范成果图
5.AI视觉类软件在设计环节辅助工作开展。</t>
  </si>
  <si>
    <t>陈节淞、张沛菁、王笑玲</t>
  </si>
  <si>
    <t>安全及维保</t>
  </si>
  <si>
    <t>2025年度财务管控系统维保</t>
  </si>
  <si>
    <t>2025年度财务管控系统维保工作服务</t>
  </si>
  <si>
    <t>根据实际情况进行维保工作</t>
  </si>
  <si>
    <t>王海颖、马凯、王雷</t>
  </si>
  <si>
    <t>SQL质量审核维保及服务</t>
  </si>
  <si>
    <t>2024-2025年度SQL质量审核维保工作和服务</t>
  </si>
  <si>
    <t>6月底完成维保合同签订</t>
  </si>
  <si>
    <t>持续进行维保履约工作</t>
  </si>
  <si>
    <t>王海颖、刘静、郑重</t>
  </si>
  <si>
    <t>环境部署</t>
  </si>
  <si>
    <t>1、 负责NAFMII平台、CFAE平台及内部管理系统部署相关工作，包括负责开发环境、测试环境管理，相关应用组件管理，构件库管理，持续集成相关系统环境搭建；
2、 解决系统环境问题；
3、 协助参与系统上线/变更，配合应用系统部署方案拟定及生产环境部署工作。
4、持续推进环境搭建与应用部署工作，加强项目的部署支持。</t>
  </si>
  <si>
    <t>根据项目性质，持续参与到各业务系统需求建设过程中</t>
  </si>
  <si>
    <t>王海颖、马凯，刘佳昱</t>
  </si>
  <si>
    <t>2025年度技术开发部配置管理</t>
  </si>
  <si>
    <t>持续推进配置管理工作，加强项目的配置管理：1、系统的文档库、代码库管理、用户权限维护；2、系统的代码分支管理、代码版本管理、制品管理；3、自动化编译部署实施及流程优化工作。</t>
  </si>
  <si>
    <t>做好配置库及权限管理、代码分支及版本管理、制品管理，持续推进自动化编译部署实施及流程优化工作。</t>
  </si>
  <si>
    <t>王海颖、刘静、邱思敏</t>
  </si>
  <si>
    <t>CFAE平台技术支持</t>
  </si>
  <si>
    <t>开展CFAE生产技术支持工作</t>
  </si>
  <si>
    <t>开展CFAE生产技术支持工作，工作内容包括但不限于根据业务部门、系统运行部门的要求，对CFAE平台生产系统的运行过程中反馈的各类功能、非功能、信息安全等方面问题进行技术支持和解决。</t>
  </si>
  <si>
    <t>根据业务要求，协助完成CFAE平台各系统维护、部署工作</t>
  </si>
  <si>
    <t>CFAE组、数据组</t>
  </si>
  <si>
    <t>马凯，邝文清、卢莹、王雷、贺莎莎、李健壮、王舒宁、雷琪，李游、刘海涛、梁燕飞、李龙泉、詹振国、曾阳、董星、薛飞、黄篪、李勇辉、周留凯、张朋、郑重</t>
  </si>
  <si>
    <t>北极星指标</t>
  </si>
  <si>
    <t>全员</t>
  </si>
  <si>
    <t>部门风险指标</t>
  </si>
  <si>
    <t>避免各类风险发生</t>
  </si>
  <si>
    <t>信息系统风险</t>
  </si>
  <si>
    <t>避免出现由于信息系统设计漏洞或缺陷、信息系统性能不完善、信息系统对业务或管理支持程度不足、信息系统开发不当等信息系统设计或维护不完善的问题引起的风险。</t>
  </si>
  <si>
    <t>如出现相关情况，视情节严重程度扣0.5-2分</t>
  </si>
  <si>
    <t>及时修复安全漏洞或缺陷、避免出现信息系统性能不完善、信息系统对业务或管理支持程度不足、信息系统开发不当等信息系统设计或维护不完善的问题引起的风险。</t>
  </si>
  <si>
    <t>业务连续性风险</t>
  </si>
  <si>
    <t>避免出现由于软件崩溃、硬件故障或外部事件导致公司重要业务中断，或未能针对业务中断事件建立有效的应急响应、恢复机制和管理能力框架，引起的阻碍重要业务持续运营的风险。</t>
  </si>
  <si>
    <t>避免出现由于软件崩溃、硬件故障或外部事件导致公司重要业务中断，针对业务中断事件建立有效的应急响应、恢复机制和管理能力框架，引起的阻碍重要业务持续运营的风险。</t>
  </si>
  <si>
    <t>信息服务外包风险</t>
  </si>
  <si>
    <t>避免出现由于信息服务外包供应商管理不当，导致开发语言不统一、敏感信息外泄、开发质量不佳的风险。</t>
  </si>
  <si>
    <t>规范信息服务外包供应商管理，保障开发语言统一、敏感信息管理、开发质量等。</t>
  </si>
  <si>
    <t>采购履约风险</t>
  </si>
  <si>
    <t>规范采购需求编写，同时避免在合同履约环节出现建设要求、支付条款、验收等相关履约风险。</t>
  </si>
  <si>
    <t>规范采购需求编写及合同签订后的履约工作，避免在合同履约环节出现服务或系统建设、支付、验收等相关履约风险。</t>
  </si>
  <si>
    <t>数据访问风险</t>
  </si>
  <si>
    <t>避免出现因权限管理不当导致数据违规操作或数据泄露或未进行数据脱敏处理的风险。</t>
  </si>
  <si>
    <t>规范敏感数据，防止数据违规操作或泄露。</t>
  </si>
  <si>
    <t>2025年员工个人重点工作任务制定情况汇总表</t>
  </si>
  <si>
    <t>姓名</t>
  </si>
  <si>
    <t>职务</t>
  </si>
  <si>
    <t>入职时间</t>
  </si>
  <si>
    <t>本人承担公司级重点工作任务权重 A</t>
  </si>
  <si>
    <t>本人承担部门级重点工作任务权重 B</t>
  </si>
  <si>
    <t>本人承担协同任务权重 C</t>
  </si>
  <si>
    <t>本人承担“北极星”权重D</t>
  </si>
  <si>
    <t>本人承担风险权重 E</t>
  </si>
  <si>
    <t>本人承担工作权重合计
F=A+B+C+D+E</t>
  </si>
  <si>
    <t>本人承担工作权重排序</t>
  </si>
  <si>
    <t>王海颖</t>
  </si>
  <si>
    <t>部门副总经理</t>
  </si>
  <si>
    <t>陈节淞</t>
  </si>
  <si>
    <t>架构</t>
  </si>
  <si>
    <t>资深经理</t>
  </si>
  <si>
    <t>马凯</t>
  </si>
  <si>
    <t>CFAE</t>
  </si>
  <si>
    <t>范玮</t>
  </si>
  <si>
    <t>NAFMII</t>
  </si>
  <si>
    <t>刘静</t>
  </si>
  <si>
    <t>质量</t>
  </si>
  <si>
    <t>高级经理</t>
  </si>
  <si>
    <t>黄篪</t>
  </si>
  <si>
    <t>数据</t>
  </si>
  <si>
    <t>赵邓</t>
  </si>
  <si>
    <t>NAFMII（簿记）</t>
  </si>
  <si>
    <t>曾阳</t>
  </si>
  <si>
    <t>邝文清</t>
  </si>
  <si>
    <t>李勇辉</t>
  </si>
  <si>
    <t>业务经理</t>
  </si>
  <si>
    <t>詹振国</t>
  </si>
  <si>
    <t>卢莹</t>
  </si>
  <si>
    <t>王亚婧</t>
  </si>
  <si>
    <t>李龙泉</t>
  </si>
  <si>
    <t>穆文思</t>
  </si>
  <si>
    <t>梁燕飞</t>
  </si>
  <si>
    <t>徐遣</t>
  </si>
  <si>
    <t>郑重</t>
  </si>
  <si>
    <t>王雷</t>
  </si>
  <si>
    <t>周明我</t>
  </si>
  <si>
    <t>业务主管</t>
  </si>
  <si>
    <t>董星</t>
  </si>
  <si>
    <t>赵浩翔</t>
  </si>
  <si>
    <t>殷琪</t>
  </si>
  <si>
    <t>贺莎莎</t>
  </si>
  <si>
    <t>邱思敏</t>
  </si>
  <si>
    <t>石灿</t>
  </si>
  <si>
    <t>刘澍</t>
  </si>
  <si>
    <t>薛飞</t>
  </si>
  <si>
    <t>李超</t>
  </si>
  <si>
    <t>何放</t>
  </si>
  <si>
    <t>刘洋</t>
  </si>
  <si>
    <t>刘佳昱</t>
  </si>
  <si>
    <t>周留凯</t>
  </si>
  <si>
    <t>李天波</t>
  </si>
  <si>
    <t>侯梦飞</t>
  </si>
  <si>
    <t>李健壮</t>
  </si>
  <si>
    <t>孙佩霞</t>
  </si>
  <si>
    <t>张沛菁</t>
  </si>
  <si>
    <t>王笑玲</t>
  </si>
  <si>
    <t>盛先锋</t>
  </si>
  <si>
    <t>刘海涛</t>
  </si>
  <si>
    <t>王芳</t>
  </si>
  <si>
    <t>王舒宁</t>
  </si>
  <si>
    <t>张卫国</t>
  </si>
  <si>
    <t>张朋</t>
  </si>
  <si>
    <t>业务助理</t>
  </si>
  <si>
    <t>高一鹏</t>
  </si>
  <si>
    <t>白晋虎</t>
  </si>
  <si>
    <t>王维彤</t>
  </si>
  <si>
    <t>马雪亮</t>
  </si>
  <si>
    <t>刘春博</t>
  </si>
  <si>
    <t>刘碧云</t>
  </si>
  <si>
    <t>程亚伦</t>
  </si>
  <si>
    <t>雷琪</t>
  </si>
  <si>
    <t>余政泽</t>
  </si>
  <si>
    <t>崔雨瑄</t>
  </si>
  <si>
    <t>李游</t>
  </si>
  <si>
    <t>梁先锋</t>
  </si>
  <si>
    <t>刘胜钰</t>
  </si>
  <si>
    <t>韩金钊</t>
  </si>
  <si>
    <t>申雯雯</t>
  </si>
  <si>
    <t>业务操作岗</t>
  </si>
  <si>
    <t>展吕杰</t>
  </si>
  <si>
    <t>卞整序</t>
  </si>
  <si>
    <t>王锡禹</t>
  </si>
  <si>
    <t>张青青</t>
  </si>
  <si>
    <t>王金辉</t>
  </si>
  <si>
    <t>刘永健</t>
  </si>
  <si>
    <t>姜先贵</t>
  </si>
  <si>
    <t>陈淞</t>
  </si>
  <si>
    <t>李显</t>
  </si>
  <si>
    <t>张琳</t>
  </si>
  <si>
    <t>林川</t>
  </si>
  <si>
    <t>丁振兴</t>
  </si>
  <si>
    <t>重点工作任务权重合计</t>
  </si>
  <si>
    <t>——</t>
  </si>
  <si>
    <t>部门负责人签字：</t>
  </si>
  <si>
    <t>总监（如有）签字：</t>
  </si>
  <si>
    <t>首席（如有）签字：</t>
  </si>
  <si>
    <t>分管领导签字：</t>
  </si>
  <si>
    <r>
      <rPr>
        <b/>
        <sz val="24"/>
        <color theme="1"/>
        <rFont val="微软雅黑"/>
        <charset val="134"/>
      </rPr>
      <t>填写说明：</t>
    </r>
    <r>
      <rPr>
        <sz val="24"/>
        <color theme="1"/>
        <rFont val="微软雅黑"/>
        <charset val="134"/>
      </rPr>
      <t xml:space="preserve">
       1、汇总表需包含部门所有在岗正式员工及派遣员工，如有外部借调结束回归部门的情况，则部门重新调整指标权重分配情况；
        2、员工“公司级重点工作任务权重”、“部门级重点工作任务权重”、“协同任务权重”应对应部门重点工作任务表中的任务权重填写，而非员工个人重点工作任务表的权重；
        3、如有同一项工作任务对应多个责任人的，则应根据贡献度拆分权重，每项任务对应的责任人的任务权重合计等于该项任务的任务权重；
       4、部门所有员工指标权重汇总合计应为部门“公司级重点工作任务权重”、“部门级重点工作任务权重”、“协同任务权重”及“风险指标权重”合计数（80%及以下不等）。</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</si>
</sst>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
    <numFmt numFmtId="177" formatCode="0.000%"/>
    <numFmt numFmtId="178" formatCode="0.000_ "/>
    <numFmt numFmtId="179" formatCode="0.00_ "/>
  </numFmts>
  <fonts count="36">
    <font>
      <sz val="10"/>
      <color theme="1"/>
      <name val="等线"/>
      <charset val="134"/>
      <scheme val="minor"/>
    </font>
    <font>
      <b/>
      <sz val="11"/>
      <color theme="1"/>
      <name val="等线"/>
      <charset val="134"/>
    </font>
    <font>
      <sz val="11"/>
      <color theme="1"/>
      <name val="等线"/>
      <charset val="134"/>
    </font>
    <font>
      <sz val="11"/>
      <color theme="1"/>
      <name val="等线"/>
      <charset val="134"/>
      <scheme val="minor"/>
    </font>
    <font>
      <b/>
      <sz val="36"/>
      <name val="微软雅黑"/>
      <charset val="134"/>
    </font>
    <font>
      <b/>
      <sz val="28"/>
      <color rgb="FF000000"/>
      <name val="微软雅黑"/>
      <charset val="134"/>
    </font>
    <font>
      <sz val="28"/>
      <color rgb="FF000000"/>
      <name val="微软雅黑"/>
      <charset val="134"/>
    </font>
    <font>
      <sz val="28"/>
      <name val="微软雅黑"/>
      <charset val="134"/>
    </font>
    <font>
      <b/>
      <sz val="24"/>
      <color theme="1"/>
      <name val="微软雅黑"/>
      <charset val="134"/>
    </font>
    <font>
      <b/>
      <sz val="28"/>
      <color theme="1"/>
      <name val="微软雅黑"/>
      <charset val="134"/>
    </font>
    <font>
      <sz val="24"/>
      <color theme="1"/>
      <name val="微软雅黑"/>
      <charset val="134"/>
    </font>
    <font>
      <sz val="10"/>
      <name val="等线"/>
      <charset val="134"/>
      <scheme val="minor"/>
    </font>
    <font>
      <sz val="10"/>
      <color theme="1"/>
      <name val="微软雅黑"/>
      <charset val="134"/>
    </font>
    <font>
      <b/>
      <sz val="28"/>
      <name val="微软雅黑"/>
      <charset val="134"/>
    </font>
    <font>
      <sz val="28"/>
      <color theme="1"/>
      <name val="微软雅黑"/>
      <charset val="134"/>
    </font>
    <font>
      <sz val="10"/>
      <name val="微软雅黑"/>
      <charset val="134"/>
    </font>
    <font>
      <sz val="28"/>
      <color rgb="FFFF0000"/>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theme="0" tint="-0.0499893185216834"/>
        <bgColor indexed="64"/>
      </patternFill>
    </fill>
    <fill>
      <patternFill patternType="solid">
        <fgColor rgb="FFD9D9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thin">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style="medium">
        <color rgb="FF000000"/>
      </right>
      <top style="thin">
        <color rgb="FF000000"/>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3" fillId="4" borderId="28"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9" applyNumberFormat="0" applyFill="0" applyAlignment="0" applyProtection="0">
      <alignment vertical="center"/>
    </xf>
    <xf numFmtId="0" fontId="23" fillId="0" borderId="29" applyNumberFormat="0" applyFill="0" applyAlignment="0" applyProtection="0">
      <alignment vertical="center"/>
    </xf>
    <xf numFmtId="0" fontId="24" fillId="0" borderId="30" applyNumberFormat="0" applyFill="0" applyAlignment="0" applyProtection="0">
      <alignment vertical="center"/>
    </xf>
    <xf numFmtId="0" fontId="24" fillId="0" borderId="0" applyNumberFormat="0" applyFill="0" applyBorder="0" applyAlignment="0" applyProtection="0">
      <alignment vertical="center"/>
    </xf>
    <xf numFmtId="0" fontId="25" fillId="5" borderId="31" applyNumberFormat="0" applyAlignment="0" applyProtection="0">
      <alignment vertical="center"/>
    </xf>
    <xf numFmtId="0" fontId="26" fillId="6" borderId="32" applyNumberFormat="0" applyAlignment="0" applyProtection="0">
      <alignment vertical="center"/>
    </xf>
    <xf numFmtId="0" fontId="27" fillId="6" borderId="31" applyNumberFormat="0" applyAlignment="0" applyProtection="0">
      <alignment vertical="center"/>
    </xf>
    <xf numFmtId="0" fontId="28" fillId="7" borderId="33" applyNumberFormat="0" applyAlignment="0" applyProtection="0">
      <alignment vertical="center"/>
    </xf>
    <xf numFmtId="0" fontId="29" fillId="0" borderId="34" applyNumberFormat="0" applyFill="0" applyAlignment="0" applyProtection="0">
      <alignment vertical="center"/>
    </xf>
    <xf numFmtId="0" fontId="30" fillId="0" borderId="35" applyNumberFormat="0" applyFill="0" applyAlignment="0" applyProtection="0">
      <alignment vertical="center"/>
    </xf>
    <xf numFmtId="0" fontId="31" fillId="8" borderId="0" applyNumberFormat="0" applyBorder="0" applyAlignment="0" applyProtection="0">
      <alignment vertical="center"/>
    </xf>
    <xf numFmtId="0" fontId="32" fillId="9" borderId="0" applyNumberFormat="0" applyBorder="0" applyAlignment="0" applyProtection="0">
      <alignment vertical="center"/>
    </xf>
    <xf numFmtId="0" fontId="33" fillId="10" borderId="0" applyNumberFormat="0" applyBorder="0" applyAlignment="0" applyProtection="0">
      <alignment vertical="center"/>
    </xf>
    <xf numFmtId="0" fontId="34" fillId="11" borderId="0" applyNumberFormat="0" applyBorder="0" applyAlignment="0" applyProtection="0">
      <alignment vertical="center"/>
    </xf>
    <xf numFmtId="0" fontId="35" fillId="12" borderId="0" applyNumberFormat="0" applyBorder="0" applyAlignment="0" applyProtection="0">
      <alignment vertical="center"/>
    </xf>
    <xf numFmtId="0" fontId="35" fillId="13" borderId="0" applyNumberFormat="0" applyBorder="0" applyAlignment="0" applyProtection="0">
      <alignment vertical="center"/>
    </xf>
    <xf numFmtId="0" fontId="34"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cellStyleXfs>
  <cellXfs count="115">
    <xf numFmtId="0" fontId="0" fillId="0" borderId="0" xfId="0" applyFont="1">
      <alignment vertical="center"/>
    </xf>
    <xf numFmtId="0" fontId="1" fillId="0" borderId="0" xfId="0" applyFont="1" applyFill="1" applyAlignment="1"/>
    <xf numFmtId="0" fontId="2" fillId="0" borderId="0" xfId="0" applyFont="1" applyFill="1" applyAlignment="1">
      <alignment vertical="center"/>
    </xf>
    <xf numFmtId="0" fontId="3" fillId="0" borderId="0" xfId="0" applyFont="1" applyFill="1" applyAlignment="1"/>
    <xf numFmtId="0" fontId="4" fillId="0" borderId="0" xfId="0" applyFont="1" applyFill="1" applyAlignment="1" applyProtection="1">
      <alignment horizontal="center" vertical="center"/>
      <protection hidden="1"/>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176" fontId="7" fillId="0" borderId="1" xfId="0" applyNumberFormat="1" applyFont="1" applyFill="1" applyBorder="1" applyAlignment="1">
      <alignment horizontal="center" vertical="center"/>
    </xf>
    <xf numFmtId="0" fontId="6" fillId="0" borderId="1" xfId="0" applyFont="1" applyFill="1" applyBorder="1" applyAlignment="1">
      <alignment horizontal="center" vertical="center" wrapText="1"/>
    </xf>
    <xf numFmtId="177" fontId="6" fillId="0" borderId="1" xfId="0" applyNumberFormat="1" applyFont="1" applyFill="1" applyBorder="1" applyAlignment="1">
      <alignment horizontal="center" vertical="center" wrapText="1"/>
    </xf>
    <xf numFmtId="178" fontId="5" fillId="0" borderId="1"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179" fontId="9" fillId="2" borderId="1" xfId="0" applyNumberFormat="1" applyFont="1" applyFill="1" applyBorder="1" applyAlignment="1">
      <alignment horizontal="center" vertical="center" wrapText="1"/>
    </xf>
    <xf numFmtId="0" fontId="8" fillId="0" borderId="0" xfId="0" applyFont="1" applyFill="1" applyAlignment="1">
      <alignment vertical="center"/>
    </xf>
    <xf numFmtId="0" fontId="10" fillId="0" borderId="0" xfId="0" applyFont="1" applyFill="1" applyBorder="1" applyAlignment="1">
      <alignment horizontal="left" vertical="center"/>
    </xf>
    <xf numFmtId="0" fontId="8" fillId="0" borderId="0" xfId="0" applyFont="1" applyFill="1" applyBorder="1" applyAlignment="1">
      <alignment vertical="center"/>
    </xf>
    <xf numFmtId="0" fontId="8" fillId="0" borderId="0" xfId="0" applyFont="1" applyFill="1" applyBorder="1" applyAlignment="1">
      <alignment horizontal="left" vertical="center"/>
    </xf>
    <xf numFmtId="0" fontId="10" fillId="0" borderId="0" xfId="0" applyFont="1" applyFill="1" applyAlignment="1"/>
    <xf numFmtId="0" fontId="8" fillId="0" borderId="0" xfId="0" applyFont="1" applyFill="1" applyAlignment="1">
      <alignment horizontal="left" vertical="top" wrapText="1"/>
    </xf>
    <xf numFmtId="0" fontId="10" fillId="0" borderId="0" xfId="0" applyFont="1" applyFill="1" applyAlignment="1">
      <alignment horizontal="left" vertical="top" wrapText="1"/>
    </xf>
    <xf numFmtId="0" fontId="9" fillId="2" borderId="1" xfId="0" applyFont="1" applyFill="1" applyBorder="1" applyAlignment="1">
      <alignment horizontal="center" vertical="center"/>
    </xf>
    <xf numFmtId="0" fontId="10" fillId="0" borderId="0" xfId="0" applyFont="1" applyFill="1" applyAlignment="1">
      <alignment vertical="center"/>
    </xf>
    <xf numFmtId="0" fontId="10" fillId="0" borderId="0" xfId="0" applyFont="1" applyFill="1" applyBorder="1" applyAlignment="1"/>
    <xf numFmtId="0" fontId="11" fillId="0" borderId="0" xfId="0" applyFont="1" applyFill="1">
      <alignment vertical="center"/>
    </xf>
    <xf numFmtId="0" fontId="12" fillId="0" borderId="0" xfId="0" applyFont="1">
      <alignment vertical="center"/>
    </xf>
    <xf numFmtId="0" fontId="13" fillId="0" borderId="0" xfId="0" applyFont="1" applyAlignment="1">
      <alignment horizontal="center" vertical="center"/>
    </xf>
    <xf numFmtId="0" fontId="14" fillId="0" borderId="0" xfId="0" applyFont="1">
      <alignment vertical="center"/>
    </xf>
    <xf numFmtId="0" fontId="13" fillId="0" borderId="0" xfId="0" applyFont="1" applyAlignment="1">
      <alignment horizontal="center"/>
    </xf>
    <xf numFmtId="0" fontId="13" fillId="0" borderId="0" xfId="0" applyFont="1">
      <alignment vertical="center"/>
    </xf>
    <xf numFmtId="0" fontId="13" fillId="3" borderId="5" xfId="0" applyFont="1" applyFill="1" applyBorder="1" applyAlignment="1">
      <alignment horizontal="center" vertical="center" wrapText="1"/>
    </xf>
    <xf numFmtId="0" fontId="13" fillId="3" borderId="6" xfId="0" applyFont="1" applyFill="1" applyBorder="1" applyAlignment="1">
      <alignment horizontal="center" vertical="center" wrapText="1"/>
    </xf>
    <xf numFmtId="0" fontId="14" fillId="0" borderId="6" xfId="0" applyFont="1" applyBorder="1">
      <alignment vertical="center"/>
    </xf>
    <xf numFmtId="0" fontId="14" fillId="0" borderId="5" xfId="0" applyFont="1" applyBorder="1">
      <alignment vertical="center"/>
    </xf>
    <xf numFmtId="0" fontId="13" fillId="3" borderId="7" xfId="0" applyFont="1" applyFill="1" applyBorder="1" applyAlignment="1">
      <alignment horizontal="center" vertical="center" wrapText="1"/>
    </xf>
    <xf numFmtId="0" fontId="7" fillId="0" borderId="8" xfId="0" applyFont="1" applyBorder="1" applyAlignment="1">
      <alignment horizontal="center" vertical="center"/>
    </xf>
    <xf numFmtId="0" fontId="13" fillId="0" borderId="9" xfId="0" applyFont="1" applyBorder="1" applyAlignment="1">
      <alignment horizontal="center" vertical="center" wrapText="1"/>
    </xf>
    <xf numFmtId="0" fontId="7" fillId="0" borderId="9" xfId="0" applyFont="1" applyBorder="1" applyAlignment="1">
      <alignment horizontal="center" vertical="center" wrapText="1"/>
    </xf>
    <xf numFmtId="0" fontId="7" fillId="0" borderId="7" xfId="0" applyFont="1" applyFill="1" applyBorder="1" applyAlignment="1">
      <alignment vertical="center" wrapText="1"/>
    </xf>
    <xf numFmtId="0" fontId="7" fillId="0" borderId="7" xfId="0" applyFont="1" applyBorder="1" applyAlignment="1">
      <alignment vertical="center" wrapText="1"/>
    </xf>
    <xf numFmtId="0" fontId="7" fillId="0" borderId="7" xfId="0" applyFont="1" applyBorder="1" applyAlignment="1">
      <alignment horizontal="center" vertical="center" wrapText="1"/>
    </xf>
    <xf numFmtId="10" fontId="7" fillId="0" borderId="7"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1" xfId="0" applyFont="1" applyBorder="1" applyAlignment="1">
      <alignment horizontal="center" vertical="center"/>
    </xf>
    <xf numFmtId="0" fontId="7" fillId="0" borderId="9" xfId="0" applyFont="1" applyFill="1" applyBorder="1" applyAlignment="1">
      <alignment horizontal="left" vertical="center" wrapText="1"/>
    </xf>
    <xf numFmtId="0" fontId="7" fillId="0" borderId="9" xfId="0" applyFont="1" applyBorder="1" applyAlignment="1">
      <alignment horizontal="left" vertical="center" wrapText="1"/>
    </xf>
    <xf numFmtId="10" fontId="7" fillId="0" borderId="9" xfId="0" applyNumberFormat="1" applyFont="1" applyFill="1" applyBorder="1" applyAlignment="1">
      <alignment horizontal="center" vertical="center" wrapText="1"/>
    </xf>
    <xf numFmtId="0" fontId="7" fillId="0" borderId="12" xfId="0" applyFont="1" applyBorder="1" applyAlignment="1">
      <alignment horizontal="center" vertical="center"/>
    </xf>
    <xf numFmtId="0" fontId="7" fillId="0" borderId="10" xfId="0" applyFont="1" applyFill="1" applyBorder="1" applyAlignment="1">
      <alignment horizontal="left" vertical="center" wrapText="1"/>
    </xf>
    <xf numFmtId="0" fontId="7" fillId="0" borderId="10" xfId="0" applyFont="1" applyBorder="1" applyAlignment="1">
      <alignment horizontal="left" vertical="center" wrapText="1"/>
    </xf>
    <xf numFmtId="10" fontId="7" fillId="0" borderId="10" xfId="0" applyNumberFormat="1" applyFont="1" applyFill="1" applyBorder="1" applyAlignment="1">
      <alignment horizontal="center" vertical="center" wrapText="1"/>
    </xf>
    <xf numFmtId="0" fontId="7" fillId="0" borderId="13" xfId="0" applyFont="1" applyBorder="1" applyAlignment="1">
      <alignment horizontal="center" vertical="center"/>
    </xf>
    <xf numFmtId="0" fontId="7" fillId="0" borderId="14" xfId="0" applyFont="1" applyFill="1" applyBorder="1" applyAlignment="1">
      <alignment horizontal="left" vertical="center" wrapText="1"/>
    </xf>
    <xf numFmtId="0" fontId="7" fillId="0" borderId="14" xfId="0" applyFont="1" applyBorder="1" applyAlignment="1">
      <alignment horizontal="left" vertical="center" wrapText="1"/>
    </xf>
    <xf numFmtId="10" fontId="7" fillId="0" borderId="14" xfId="0" applyNumberFormat="1" applyFont="1" applyFill="1" applyBorder="1" applyAlignment="1">
      <alignment horizontal="center" vertical="center" wrapText="1"/>
    </xf>
    <xf numFmtId="10" fontId="6" fillId="0" borderId="7" xfId="0" applyNumberFormat="1" applyFont="1" applyFill="1" applyBorder="1" applyAlignment="1">
      <alignment horizontal="center" vertical="center" wrapText="1"/>
    </xf>
    <xf numFmtId="0" fontId="13" fillId="0" borderId="14"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8" xfId="0" applyFont="1" applyFill="1" applyBorder="1" applyAlignment="1">
      <alignment horizontal="center" vertical="center"/>
    </xf>
    <xf numFmtId="0" fontId="13" fillId="0" borderId="7" xfId="0" applyFont="1" applyFill="1" applyBorder="1" applyAlignment="1">
      <alignment horizontal="center" vertical="center" wrapText="1"/>
    </xf>
    <xf numFmtId="0" fontId="7" fillId="0" borderId="7" xfId="0" applyFont="1" applyFill="1" applyBorder="1" applyAlignment="1">
      <alignment horizontal="center" vertical="center" wrapText="1"/>
    </xf>
    <xf numFmtId="0" fontId="15" fillId="0" borderId="7" xfId="0" applyFont="1" applyFill="1" applyBorder="1" applyAlignment="1"/>
    <xf numFmtId="0" fontId="12" fillId="0" borderId="7" xfId="0" applyFont="1" applyFill="1" applyBorder="1" applyAlignment="1">
      <alignment vertical="center"/>
    </xf>
    <xf numFmtId="57" fontId="7" fillId="0" borderId="7" xfId="0" applyNumberFormat="1" applyFont="1" applyFill="1" applyBorder="1" applyAlignment="1">
      <alignment vertical="center" wrapText="1"/>
    </xf>
    <xf numFmtId="0" fontId="15" fillId="0" borderId="7" xfId="0" applyFont="1" applyFill="1" applyBorder="1" applyAlignment="1">
      <alignment vertical="center"/>
    </xf>
    <xf numFmtId="0" fontId="13" fillId="0" borderId="0" xfId="0" applyFont="1" applyAlignment="1"/>
    <xf numFmtId="179" fontId="13" fillId="3" borderId="15" xfId="0" applyNumberFormat="1" applyFont="1" applyFill="1" applyBorder="1" applyAlignment="1">
      <alignment horizontal="center" vertical="center" wrapText="1"/>
    </xf>
    <xf numFmtId="179" fontId="5" fillId="3" borderId="16" xfId="0" applyNumberFormat="1" applyFont="1" applyFill="1" applyBorder="1" applyAlignment="1">
      <alignment horizontal="center" vertical="center" wrapText="1"/>
    </xf>
    <xf numFmtId="0" fontId="7" fillId="0" borderId="16" xfId="0" applyFont="1" applyFill="1" applyBorder="1" applyAlignment="1">
      <alignment horizontal="center" vertical="center" wrapText="1"/>
    </xf>
    <xf numFmtId="10" fontId="7" fillId="0" borderId="9" xfId="0" applyNumberFormat="1" applyFont="1" applyBorder="1" applyAlignment="1">
      <alignment horizontal="left" vertical="center" wrapText="1"/>
    </xf>
    <xf numFmtId="0" fontId="7" fillId="0" borderId="17" xfId="0" applyFont="1" applyFill="1" applyBorder="1" applyAlignment="1">
      <alignment horizontal="left" vertical="center" wrapText="1"/>
    </xf>
    <xf numFmtId="10" fontId="7" fillId="0" borderId="10" xfId="0" applyNumberFormat="1" applyFont="1" applyBorder="1" applyAlignment="1">
      <alignment horizontal="left" vertical="center" wrapText="1"/>
    </xf>
    <xf numFmtId="0" fontId="7" fillId="0" borderId="18" xfId="0" applyFont="1" applyFill="1" applyBorder="1" applyAlignment="1">
      <alignment horizontal="left" vertical="center" wrapText="1"/>
    </xf>
    <xf numFmtId="10" fontId="7" fillId="0" borderId="14" xfId="0" applyNumberFormat="1" applyFont="1" applyBorder="1" applyAlignment="1">
      <alignment horizontal="left" vertical="center" wrapText="1"/>
    </xf>
    <xf numFmtId="0" fontId="7" fillId="0" borderId="19" xfId="0" applyFont="1" applyFill="1" applyBorder="1" applyAlignment="1">
      <alignment horizontal="left" vertical="center" wrapText="1"/>
    </xf>
    <xf numFmtId="0" fontId="6" fillId="0" borderId="16" xfId="0" applyFont="1" applyFill="1" applyBorder="1" applyAlignment="1">
      <alignment horizontal="center" vertical="center" wrapText="1"/>
    </xf>
    <xf numFmtId="10" fontId="7" fillId="0" borderId="20" xfId="0" applyNumberFormat="1" applyFont="1" applyFill="1" applyBorder="1" applyAlignment="1">
      <alignment horizontal="center" vertical="center" wrapText="1"/>
    </xf>
    <xf numFmtId="10" fontId="7" fillId="0" borderId="7" xfId="0" applyNumberFormat="1" applyFont="1" applyFill="1" applyBorder="1" applyAlignment="1">
      <alignment horizontal="center" vertical="center" wrapText="1"/>
    </xf>
    <xf numFmtId="10" fontId="7" fillId="0" borderId="20" xfId="0" applyNumberFormat="1" applyFont="1" applyFill="1" applyBorder="1" applyAlignment="1">
      <alignment horizontal="center" vertical="center"/>
    </xf>
    <xf numFmtId="0" fontId="7" fillId="0" borderId="16" xfId="0" applyFont="1" applyFill="1" applyBorder="1" applyAlignment="1">
      <alignment vertical="center" wrapText="1"/>
    </xf>
    <xf numFmtId="0" fontId="7" fillId="0" borderId="7" xfId="0" applyFont="1" applyFill="1" applyBorder="1" applyAlignment="1">
      <alignment vertical="center"/>
    </xf>
    <xf numFmtId="10" fontId="7" fillId="0" borderId="7" xfId="0" applyNumberFormat="1" applyFont="1" applyFill="1" applyBorder="1" applyAlignment="1">
      <alignment horizontal="left" vertical="center" wrapText="1"/>
    </xf>
    <xf numFmtId="10" fontId="7" fillId="0" borderId="16" xfId="0" applyNumberFormat="1" applyFont="1" applyFill="1" applyBorder="1" applyAlignment="1">
      <alignment horizontal="left" vertical="center" wrapText="1"/>
    </xf>
    <xf numFmtId="0" fontId="6" fillId="0" borderId="7" xfId="0" applyFont="1" applyFill="1" applyBorder="1" applyAlignment="1">
      <alignment horizontal="left" vertical="center" wrapText="1"/>
    </xf>
    <xf numFmtId="0" fontId="14" fillId="0" borderId="7" xfId="0" applyFont="1" applyBorder="1">
      <alignment vertical="center"/>
    </xf>
    <xf numFmtId="10" fontId="6" fillId="0" borderId="9" xfId="0" applyNumberFormat="1" applyFont="1" applyFill="1" applyBorder="1" applyAlignment="1">
      <alignment horizontal="center" vertical="center" wrapText="1"/>
    </xf>
    <xf numFmtId="10" fontId="6" fillId="0" borderId="14" xfId="0" applyNumberFormat="1" applyFont="1" applyFill="1" applyBorder="1" applyAlignment="1">
      <alignment horizontal="center" vertical="center" wrapText="1"/>
    </xf>
    <xf numFmtId="0" fontId="7" fillId="0" borderId="9" xfId="0" applyFont="1" applyFill="1" applyBorder="1" applyAlignment="1">
      <alignment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16" fillId="0" borderId="7" xfId="0" applyFont="1" applyBorder="1" applyAlignment="1">
      <alignment horizontal="center" vertical="center" wrapText="1"/>
    </xf>
    <xf numFmtId="0" fontId="13" fillId="0" borderId="7" xfId="0" applyFont="1" applyBorder="1" applyAlignment="1">
      <alignment horizontal="center" vertical="center" wrapText="1"/>
    </xf>
    <xf numFmtId="9" fontId="7" fillId="0" borderId="7" xfId="0" applyNumberFormat="1" applyFont="1" applyFill="1" applyBorder="1" applyAlignment="1">
      <alignment horizontal="center" vertical="center" wrapText="1"/>
    </xf>
    <xf numFmtId="0" fontId="7" fillId="0" borderId="23" xfId="0" applyFont="1" applyBorder="1" applyAlignment="1">
      <alignment vertical="center" wrapText="1"/>
    </xf>
    <xf numFmtId="0" fontId="7" fillId="0" borderId="23" xfId="0" applyFont="1" applyBorder="1" applyAlignment="1">
      <alignment horizontal="center" vertical="center" wrapText="1"/>
    </xf>
    <xf numFmtId="10" fontId="7" fillId="0" borderId="20" xfId="0" applyNumberFormat="1" applyFont="1" applyBorder="1" applyAlignment="1">
      <alignment horizontal="center" vertical="center" wrapText="1"/>
    </xf>
    <xf numFmtId="0" fontId="6" fillId="0" borderId="16" xfId="0" applyFont="1" applyBorder="1" applyAlignment="1">
      <alignment horizontal="center" vertical="center" wrapText="1"/>
    </xf>
    <xf numFmtId="0" fontId="7" fillId="0" borderId="24" xfId="0" applyFont="1" applyBorder="1" applyAlignment="1">
      <alignment horizontal="left" vertical="center" wrapText="1"/>
    </xf>
    <xf numFmtId="10" fontId="7" fillId="0" borderId="24" xfId="0" applyNumberFormat="1" applyFont="1" applyBorder="1" applyAlignment="1">
      <alignment horizontal="center" vertical="center" wrapText="1"/>
    </xf>
    <xf numFmtId="0" fontId="7" fillId="0" borderId="17" xfId="0" applyFont="1" applyFill="1" applyBorder="1" applyAlignment="1">
      <alignment horizontal="center" vertical="center" wrapText="1"/>
    </xf>
    <xf numFmtId="0" fontId="7" fillId="0" borderId="25" xfId="0" applyFont="1" applyBorder="1" applyAlignment="1">
      <alignment horizontal="left" vertical="center" wrapText="1"/>
    </xf>
    <xf numFmtId="10" fontId="7" fillId="0" borderId="26" xfId="0" applyNumberFormat="1" applyFont="1" applyBorder="1" applyAlignment="1">
      <alignment horizontal="center" vertical="center" wrapText="1"/>
    </xf>
    <xf numFmtId="0" fontId="7" fillId="0" borderId="19" xfId="0" applyFont="1" applyFill="1" applyBorder="1" applyAlignment="1">
      <alignment horizontal="center" vertical="center" wrapText="1"/>
    </xf>
    <xf numFmtId="0" fontId="7" fillId="0" borderId="24" xfId="0" applyFont="1" applyFill="1" applyBorder="1" applyAlignment="1">
      <alignment vertical="center" wrapText="1"/>
    </xf>
    <xf numFmtId="0" fontId="16" fillId="0" borderId="7" xfId="0" applyFont="1" applyBorder="1" applyAlignment="1">
      <alignment vertical="center" wrapText="1"/>
    </xf>
    <xf numFmtId="10" fontId="16" fillId="0" borderId="7" xfId="0" applyNumberFormat="1" applyFont="1" applyBorder="1" applyAlignment="1">
      <alignment horizontal="center" vertical="center" wrapText="1"/>
    </xf>
    <xf numFmtId="10" fontId="7" fillId="0" borderId="16" xfId="0" applyNumberFormat="1" applyFont="1" applyFill="1" applyBorder="1" applyAlignment="1">
      <alignment horizontal="center" vertical="center" wrapText="1"/>
    </xf>
    <xf numFmtId="10" fontId="7" fillId="0" borderId="16" xfId="0" applyNumberFormat="1" applyFont="1" applyBorder="1" applyAlignment="1">
      <alignment horizontal="center" vertical="center" wrapText="1"/>
    </xf>
    <xf numFmtId="0" fontId="14" fillId="0" borderId="23" xfId="0" applyFont="1" applyBorder="1">
      <alignment vertical="center"/>
    </xf>
    <xf numFmtId="10" fontId="7" fillId="0" borderId="23" xfId="0" applyNumberFormat="1" applyFont="1" applyBorder="1" applyAlignment="1">
      <alignment horizontal="center" vertical="center" wrapText="1"/>
    </xf>
    <xf numFmtId="10" fontId="7" fillId="0" borderId="27" xfId="0" applyNumberFormat="1"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90"/>
  <sheetViews>
    <sheetView zoomScale="25" zoomScaleNormal="25" workbookViewId="0">
      <pane xSplit="4" ySplit="4" topLeftCell="E68" activePane="bottomRight" state="frozen"/>
      <selection/>
      <selection pane="topRight"/>
      <selection pane="bottomLeft"/>
      <selection pane="bottomRight" activeCell="G89" sqref="G89"/>
    </sheetView>
  </sheetViews>
  <sheetFormatPr defaultColWidth="9.81818181818182" defaultRowHeight="14.5"/>
  <cols>
    <col min="1" max="1" width="14.7090909090909" customWidth="1"/>
    <col min="2" max="2" width="33.0909090909091" customWidth="1"/>
    <col min="3" max="3" width="42.9090909090909" customWidth="1"/>
    <col min="4" max="4" width="88.7090909090909" customWidth="1"/>
    <col min="5" max="5" width="241.090909090909" customWidth="1"/>
    <col min="6" max="6" width="40" customWidth="1"/>
    <col min="7" max="7" width="96.3636363636364" style="27" customWidth="1"/>
    <col min="8" max="8" width="130.181818181818" customWidth="1"/>
    <col min="9" max="9" width="117.090909090909" customWidth="1"/>
    <col min="10" max="10" width="23.6363636363636" customWidth="1"/>
    <col min="11" max="11" width="34.7090909090909" customWidth="1"/>
    <col min="12" max="12" width="100.709090909091" customWidth="1"/>
  </cols>
  <sheetData>
    <row r="1" ht="40" spans="1:12">
      <c r="A1" s="28" t="s">
        <v>0</v>
      </c>
      <c r="B1" s="29"/>
      <c r="C1" s="29"/>
      <c r="D1" s="29"/>
      <c r="E1" s="29"/>
      <c r="F1" s="29"/>
      <c r="G1" s="29"/>
      <c r="H1" s="29"/>
      <c r="I1" s="29"/>
      <c r="J1" s="29"/>
      <c r="K1" s="29"/>
      <c r="L1" s="29"/>
    </row>
    <row r="2" ht="40.75" spans="1:12">
      <c r="A2" s="30"/>
      <c r="B2" s="31" t="s">
        <v>1</v>
      </c>
      <c r="C2" s="28" t="s">
        <v>2</v>
      </c>
      <c r="D2" s="28"/>
      <c r="E2" s="28"/>
      <c r="F2" s="28"/>
      <c r="G2" s="28"/>
      <c r="H2" s="28"/>
      <c r="I2" s="68"/>
      <c r="J2" s="28"/>
      <c r="K2" s="28"/>
      <c r="L2" s="28"/>
    </row>
    <row r="3" ht="40.75" spans="1:12">
      <c r="A3" s="32" t="s">
        <v>3</v>
      </c>
      <c r="B3" s="33" t="s">
        <v>4</v>
      </c>
      <c r="C3" s="34"/>
      <c r="D3" s="33" t="s">
        <v>5</v>
      </c>
      <c r="E3" s="34"/>
      <c r="F3" s="34"/>
      <c r="G3" s="34"/>
      <c r="H3" s="33" t="s">
        <v>6</v>
      </c>
      <c r="I3" s="34"/>
      <c r="J3" s="33" t="s">
        <v>7</v>
      </c>
      <c r="K3" s="33" t="s">
        <v>8</v>
      </c>
      <c r="L3" s="69" t="s">
        <v>9</v>
      </c>
    </row>
    <row r="4" ht="120" spans="1:12">
      <c r="A4" s="35"/>
      <c r="B4" s="36" t="s">
        <v>10</v>
      </c>
      <c r="C4" s="36" t="s">
        <v>11</v>
      </c>
      <c r="D4" s="36" t="s">
        <v>12</v>
      </c>
      <c r="E4" s="36" t="s">
        <v>13</v>
      </c>
      <c r="F4" s="36" t="s">
        <v>14</v>
      </c>
      <c r="G4" s="36" t="s">
        <v>15</v>
      </c>
      <c r="H4" s="36" t="s">
        <v>16</v>
      </c>
      <c r="I4" s="36" t="s">
        <v>17</v>
      </c>
      <c r="J4" s="34"/>
      <c r="K4" s="34"/>
      <c r="L4" s="70" t="s">
        <v>18</v>
      </c>
    </row>
    <row r="5" ht="178" customHeight="1" spans="1:12">
      <c r="A5" s="37">
        <v>1</v>
      </c>
      <c r="B5" s="38" t="s">
        <v>19</v>
      </c>
      <c r="C5" s="39" t="s">
        <v>20</v>
      </c>
      <c r="D5" s="40" t="s">
        <v>21</v>
      </c>
      <c r="E5" s="41" t="s">
        <v>22</v>
      </c>
      <c r="F5" s="42" t="s">
        <v>23</v>
      </c>
      <c r="G5" s="43">
        <v>0.0116</v>
      </c>
      <c r="H5" s="41" t="s">
        <v>24</v>
      </c>
      <c r="I5" s="41" t="s">
        <v>25</v>
      </c>
      <c r="J5" s="41" t="s">
        <v>26</v>
      </c>
      <c r="K5" s="43" t="s">
        <v>27</v>
      </c>
      <c r="L5" s="71" t="s">
        <v>28</v>
      </c>
    </row>
    <row r="6" ht="178" customHeight="1" spans="1:12">
      <c r="A6" s="37">
        <v>2</v>
      </c>
      <c r="B6" s="44"/>
      <c r="C6" s="45"/>
      <c r="D6" s="40" t="s">
        <v>29</v>
      </c>
      <c r="E6" s="41" t="s">
        <v>30</v>
      </c>
      <c r="F6" s="42" t="s">
        <v>23</v>
      </c>
      <c r="G6" s="43">
        <v>0.0047</v>
      </c>
      <c r="H6" s="41" t="s">
        <v>24</v>
      </c>
      <c r="I6" s="41" t="s">
        <v>25</v>
      </c>
      <c r="J6" s="41" t="s">
        <v>26</v>
      </c>
      <c r="K6" s="43" t="s">
        <v>31</v>
      </c>
      <c r="L6" s="71" t="s">
        <v>32</v>
      </c>
    </row>
    <row r="7" ht="322" customHeight="1" spans="1:12">
      <c r="A7" s="46">
        <v>3</v>
      </c>
      <c r="B7" s="44"/>
      <c r="C7" s="45"/>
      <c r="D7" s="47" t="s">
        <v>33</v>
      </c>
      <c r="E7" s="48" t="s">
        <v>34</v>
      </c>
      <c r="F7" s="39" t="s">
        <v>23</v>
      </c>
      <c r="G7" s="49">
        <v>0.0175</v>
      </c>
      <c r="H7" s="48" t="s">
        <v>35</v>
      </c>
      <c r="I7" s="48" t="s">
        <v>36</v>
      </c>
      <c r="J7" s="48" t="s">
        <v>26</v>
      </c>
      <c r="K7" s="72" t="s">
        <v>27</v>
      </c>
      <c r="L7" s="73" t="s">
        <v>37</v>
      </c>
    </row>
    <row r="8" ht="322" customHeight="1" spans="1:12">
      <c r="A8" s="50"/>
      <c r="B8" s="44"/>
      <c r="C8" s="45"/>
      <c r="D8" s="51"/>
      <c r="E8" s="52"/>
      <c r="F8" s="45"/>
      <c r="G8" s="53"/>
      <c r="H8" s="52"/>
      <c r="I8" s="52"/>
      <c r="J8" s="52"/>
      <c r="K8" s="74"/>
      <c r="L8" s="75"/>
    </row>
    <row r="9" ht="322" customHeight="1" spans="1:12">
      <c r="A9" s="54"/>
      <c r="B9" s="44"/>
      <c r="C9" s="45"/>
      <c r="D9" s="55"/>
      <c r="E9" s="56"/>
      <c r="F9" s="45"/>
      <c r="G9" s="57"/>
      <c r="H9" s="56"/>
      <c r="I9" s="56"/>
      <c r="J9" s="56"/>
      <c r="K9" s="76"/>
      <c r="L9" s="77"/>
    </row>
    <row r="10" ht="266" customHeight="1" spans="1:12">
      <c r="A10" s="37">
        <v>4</v>
      </c>
      <c r="B10" s="44"/>
      <c r="C10" s="39" t="s">
        <v>38</v>
      </c>
      <c r="D10" s="40" t="s">
        <v>39</v>
      </c>
      <c r="E10" s="41" t="s">
        <v>40</v>
      </c>
      <c r="F10" s="42" t="s">
        <v>23</v>
      </c>
      <c r="G10" s="58">
        <v>0.0058</v>
      </c>
      <c r="H10" s="41" t="s">
        <v>35</v>
      </c>
      <c r="I10" s="41" t="s">
        <v>36</v>
      </c>
      <c r="J10" s="41" t="s">
        <v>26</v>
      </c>
      <c r="K10" s="43" t="s">
        <v>27</v>
      </c>
      <c r="L10" s="78" t="s">
        <v>37</v>
      </c>
    </row>
    <row r="11" ht="160" spans="1:12">
      <c r="A11" s="37">
        <v>5</v>
      </c>
      <c r="B11" s="59"/>
      <c r="C11" s="60"/>
      <c r="D11" s="40" t="s">
        <v>41</v>
      </c>
      <c r="E11" s="41" t="s">
        <v>42</v>
      </c>
      <c r="F11" s="42" t="s">
        <v>43</v>
      </c>
      <c r="G11" s="58">
        <v>0.0006</v>
      </c>
      <c r="H11" s="41" t="s">
        <v>44</v>
      </c>
      <c r="I11" s="41" t="s">
        <v>45</v>
      </c>
      <c r="J11" s="41" t="s">
        <v>26</v>
      </c>
      <c r="K11" s="43" t="s">
        <v>27</v>
      </c>
      <c r="L11" s="78" t="s">
        <v>46</v>
      </c>
    </row>
    <row r="12" ht="162" customHeight="1" spans="1:12">
      <c r="A12" s="61">
        <v>6</v>
      </c>
      <c r="B12" s="62" t="s">
        <v>47</v>
      </c>
      <c r="C12" s="40" t="s">
        <v>38</v>
      </c>
      <c r="D12" s="40" t="s">
        <v>48</v>
      </c>
      <c r="E12" s="40" t="s">
        <v>49</v>
      </c>
      <c r="F12" s="63" t="s">
        <v>23</v>
      </c>
      <c r="G12" s="58">
        <v>0.0175</v>
      </c>
      <c r="H12" s="40" t="s">
        <v>50</v>
      </c>
      <c r="I12" s="40" t="s">
        <v>51</v>
      </c>
      <c r="J12" s="40" t="s">
        <v>26</v>
      </c>
      <c r="K12" s="79" t="s">
        <v>52</v>
      </c>
      <c r="L12" s="71" t="s">
        <v>53</v>
      </c>
    </row>
    <row r="13" ht="194" customHeight="1" spans="1:12">
      <c r="A13" s="61">
        <v>7</v>
      </c>
      <c r="B13" s="64"/>
      <c r="C13" s="40" t="s">
        <v>54</v>
      </c>
      <c r="D13" s="40" t="s">
        <v>55</v>
      </c>
      <c r="E13" s="40" t="s">
        <v>56</v>
      </c>
      <c r="F13" s="63" t="s">
        <v>23</v>
      </c>
      <c r="G13" s="58">
        <v>0.0175</v>
      </c>
      <c r="H13" s="40" t="s">
        <v>57</v>
      </c>
      <c r="I13" s="40" t="s">
        <v>51</v>
      </c>
      <c r="J13" s="40" t="s">
        <v>26</v>
      </c>
      <c r="K13" s="80" t="s">
        <v>52</v>
      </c>
      <c r="L13" s="71" t="s">
        <v>58</v>
      </c>
    </row>
    <row r="14" ht="304" customHeight="1" spans="1:12">
      <c r="A14" s="61">
        <v>8</v>
      </c>
      <c r="B14" s="64"/>
      <c r="C14" s="40" t="s">
        <v>59</v>
      </c>
      <c r="D14" s="40" t="s">
        <v>60</v>
      </c>
      <c r="E14" s="40" t="s">
        <v>61</v>
      </c>
      <c r="F14" s="63" t="s">
        <v>23</v>
      </c>
      <c r="G14" s="58">
        <v>0.0175</v>
      </c>
      <c r="H14" s="40" t="s">
        <v>62</v>
      </c>
      <c r="I14" s="40" t="s">
        <v>36</v>
      </c>
      <c r="J14" s="40" t="s">
        <v>26</v>
      </c>
      <c r="K14" s="80" t="s">
        <v>31</v>
      </c>
      <c r="L14" s="71" t="s">
        <v>63</v>
      </c>
    </row>
    <row r="15" ht="160" customHeight="1" spans="1:12">
      <c r="A15" s="61">
        <v>9</v>
      </c>
      <c r="B15" s="64"/>
      <c r="C15" s="40" t="s">
        <v>64</v>
      </c>
      <c r="D15" s="40" t="s">
        <v>65</v>
      </c>
      <c r="E15" s="40" t="s">
        <v>66</v>
      </c>
      <c r="F15" s="63" t="s">
        <v>23</v>
      </c>
      <c r="G15" s="58">
        <v>0.0117</v>
      </c>
      <c r="H15" s="40" t="s">
        <v>67</v>
      </c>
      <c r="I15" s="40" t="s">
        <v>68</v>
      </c>
      <c r="J15" s="40" t="s">
        <v>26</v>
      </c>
      <c r="K15" s="79" t="s">
        <v>52</v>
      </c>
      <c r="L15" s="71" t="s">
        <v>69</v>
      </c>
    </row>
    <row r="16" ht="160" customHeight="1" spans="1:12">
      <c r="A16" s="61">
        <v>10</v>
      </c>
      <c r="B16" s="64"/>
      <c r="C16" s="40" t="s">
        <v>70</v>
      </c>
      <c r="D16" s="40" t="s">
        <v>71</v>
      </c>
      <c r="E16" s="40" t="s">
        <v>72</v>
      </c>
      <c r="F16" s="63" t="s">
        <v>23</v>
      </c>
      <c r="G16" s="58">
        <v>0.0117</v>
      </c>
      <c r="H16" s="40" t="s">
        <v>67</v>
      </c>
      <c r="I16" s="40" t="s">
        <v>68</v>
      </c>
      <c r="J16" s="40" t="s">
        <v>26</v>
      </c>
      <c r="K16" s="79" t="s">
        <v>52</v>
      </c>
      <c r="L16" s="71" t="s">
        <v>69</v>
      </c>
    </row>
    <row r="17" ht="152" customHeight="1" spans="1:12">
      <c r="A17" s="61">
        <v>11</v>
      </c>
      <c r="B17" s="62" t="s">
        <v>73</v>
      </c>
      <c r="C17" s="63" t="s">
        <v>74</v>
      </c>
      <c r="D17" s="40" t="s">
        <v>75</v>
      </c>
      <c r="E17" s="40" t="s">
        <v>76</v>
      </c>
      <c r="F17" s="63" t="s">
        <v>23</v>
      </c>
      <c r="G17" s="58">
        <v>0.0117</v>
      </c>
      <c r="H17" s="40" t="s">
        <v>36</v>
      </c>
      <c r="I17" s="40" t="s">
        <v>36</v>
      </c>
      <c r="J17" s="40" t="s">
        <v>26</v>
      </c>
      <c r="K17" s="79" t="s">
        <v>77</v>
      </c>
      <c r="L17" s="71" t="s">
        <v>78</v>
      </c>
    </row>
    <row r="18" ht="214" customHeight="1" spans="1:12">
      <c r="A18" s="61">
        <v>12</v>
      </c>
      <c r="B18" s="64"/>
      <c r="C18" s="65"/>
      <c r="D18" s="40" t="s">
        <v>79</v>
      </c>
      <c r="E18" s="40" t="s">
        <v>80</v>
      </c>
      <c r="F18" s="63" t="s">
        <v>23</v>
      </c>
      <c r="G18" s="58">
        <v>0.0115</v>
      </c>
      <c r="H18" s="40" t="s">
        <v>36</v>
      </c>
      <c r="I18" s="40" t="s">
        <v>36</v>
      </c>
      <c r="J18" s="40" t="s">
        <v>26</v>
      </c>
      <c r="K18" s="79" t="s">
        <v>77</v>
      </c>
      <c r="L18" s="71" t="s">
        <v>81</v>
      </c>
    </row>
    <row r="19" ht="152" customHeight="1" spans="1:12">
      <c r="A19" s="61">
        <v>13</v>
      </c>
      <c r="B19" s="64"/>
      <c r="C19" s="65"/>
      <c r="D19" s="40" t="s">
        <v>82</v>
      </c>
      <c r="E19" s="40" t="s">
        <v>83</v>
      </c>
      <c r="F19" s="63" t="s">
        <v>23</v>
      </c>
      <c r="G19" s="58">
        <v>0.0115</v>
      </c>
      <c r="H19" s="40" t="s">
        <v>36</v>
      </c>
      <c r="I19" s="40" t="s">
        <v>36</v>
      </c>
      <c r="J19" s="40" t="s">
        <v>26</v>
      </c>
      <c r="K19" s="79" t="s">
        <v>77</v>
      </c>
      <c r="L19" s="71" t="s">
        <v>84</v>
      </c>
    </row>
    <row r="20" ht="156" customHeight="1" spans="1:12">
      <c r="A20" s="61">
        <v>14</v>
      </c>
      <c r="B20" s="64"/>
      <c r="C20" s="65"/>
      <c r="D20" s="40" t="s">
        <v>85</v>
      </c>
      <c r="E20" s="40" t="s">
        <v>86</v>
      </c>
      <c r="F20" s="63" t="s">
        <v>43</v>
      </c>
      <c r="G20" s="58">
        <v>0.0117</v>
      </c>
      <c r="H20" s="40" t="s">
        <v>87</v>
      </c>
      <c r="I20" s="40" t="s">
        <v>88</v>
      </c>
      <c r="J20" s="40" t="s">
        <v>26</v>
      </c>
      <c r="K20" s="79" t="s">
        <v>52</v>
      </c>
      <c r="L20" s="71" t="s">
        <v>89</v>
      </c>
    </row>
    <row r="21" ht="122" customHeight="1" spans="1:12">
      <c r="A21" s="61">
        <v>15</v>
      </c>
      <c r="B21" s="64"/>
      <c r="C21" s="65"/>
      <c r="D21" s="40" t="s">
        <v>90</v>
      </c>
      <c r="E21" s="40" t="s">
        <v>91</v>
      </c>
      <c r="F21" s="63" t="s">
        <v>23</v>
      </c>
      <c r="G21" s="58">
        <v>0.0117</v>
      </c>
      <c r="H21" s="40" t="s">
        <v>36</v>
      </c>
      <c r="I21" s="40" t="s">
        <v>36</v>
      </c>
      <c r="J21" s="40" t="s">
        <v>26</v>
      </c>
      <c r="K21" s="79" t="s">
        <v>77</v>
      </c>
      <c r="L21" s="71" t="s">
        <v>92</v>
      </c>
    </row>
    <row r="22" ht="120" spans="1:12">
      <c r="A22" s="61">
        <v>16</v>
      </c>
      <c r="B22" s="64"/>
      <c r="C22" s="65"/>
      <c r="D22" s="40" t="s">
        <v>93</v>
      </c>
      <c r="E22" s="40" t="s">
        <v>94</v>
      </c>
      <c r="F22" s="63" t="s">
        <v>95</v>
      </c>
      <c r="G22" s="58">
        <v>0.0117</v>
      </c>
      <c r="H22" s="40" t="s">
        <v>96</v>
      </c>
      <c r="I22" s="40" t="s">
        <v>97</v>
      </c>
      <c r="J22" s="40" t="s">
        <v>26</v>
      </c>
      <c r="K22" s="79" t="s">
        <v>52</v>
      </c>
      <c r="L22" s="71" t="s">
        <v>98</v>
      </c>
    </row>
    <row r="23" ht="122" customHeight="1" spans="1:12">
      <c r="A23" s="61">
        <v>17</v>
      </c>
      <c r="B23" s="64"/>
      <c r="C23" s="65"/>
      <c r="D23" s="40" t="s">
        <v>99</v>
      </c>
      <c r="E23" s="40" t="s">
        <v>100</v>
      </c>
      <c r="F23" s="63" t="s">
        <v>23</v>
      </c>
      <c r="G23" s="58">
        <v>0.0175</v>
      </c>
      <c r="H23" s="40" t="s">
        <v>36</v>
      </c>
      <c r="I23" s="40" t="s">
        <v>36</v>
      </c>
      <c r="J23" s="40" t="s">
        <v>26</v>
      </c>
      <c r="K23" s="79" t="s">
        <v>77</v>
      </c>
      <c r="L23" s="71" t="s">
        <v>101</v>
      </c>
    </row>
    <row r="24" ht="216" customHeight="1" spans="1:12">
      <c r="A24" s="61">
        <v>18</v>
      </c>
      <c r="B24" s="64"/>
      <c r="C24" s="65"/>
      <c r="D24" s="40" t="s">
        <v>102</v>
      </c>
      <c r="E24" s="40" t="s">
        <v>103</v>
      </c>
      <c r="F24" s="63" t="s">
        <v>23</v>
      </c>
      <c r="G24" s="58">
        <v>0.007</v>
      </c>
      <c r="H24" s="40" t="s">
        <v>36</v>
      </c>
      <c r="I24" s="40" t="s">
        <v>36</v>
      </c>
      <c r="J24" s="40" t="s">
        <v>26</v>
      </c>
      <c r="K24" s="79" t="s">
        <v>77</v>
      </c>
      <c r="L24" s="71" t="s">
        <v>104</v>
      </c>
    </row>
    <row r="25" ht="168" customHeight="1" spans="1:12">
      <c r="A25" s="61">
        <v>19</v>
      </c>
      <c r="B25" s="64"/>
      <c r="C25" s="65"/>
      <c r="D25" s="40" t="s">
        <v>105</v>
      </c>
      <c r="E25" s="40" t="s">
        <v>106</v>
      </c>
      <c r="F25" s="63" t="s">
        <v>107</v>
      </c>
      <c r="G25" s="58">
        <v>0.0175</v>
      </c>
      <c r="H25" s="66" t="s">
        <v>108</v>
      </c>
      <c r="I25" s="40" t="s">
        <v>109</v>
      </c>
      <c r="J25" s="40" t="s">
        <v>26</v>
      </c>
      <c r="K25" s="63" t="s">
        <v>52</v>
      </c>
      <c r="L25" s="71" t="s">
        <v>110</v>
      </c>
    </row>
    <row r="26" ht="162" customHeight="1" spans="1:12">
      <c r="A26" s="61">
        <v>20</v>
      </c>
      <c r="B26" s="64"/>
      <c r="C26" s="64"/>
      <c r="D26" s="40" t="s">
        <v>111</v>
      </c>
      <c r="E26" s="40" t="s">
        <v>112</v>
      </c>
      <c r="F26" s="63" t="s">
        <v>43</v>
      </c>
      <c r="G26" s="58">
        <v>0.0175</v>
      </c>
      <c r="H26" s="40" t="s">
        <v>113</v>
      </c>
      <c r="I26" s="40" t="s">
        <v>114</v>
      </c>
      <c r="J26" s="40" t="s">
        <v>26</v>
      </c>
      <c r="K26" s="81" t="s">
        <v>77</v>
      </c>
      <c r="L26" s="71" t="s">
        <v>115</v>
      </c>
    </row>
    <row r="27" ht="146" customHeight="1" spans="1:12">
      <c r="A27" s="61">
        <v>21</v>
      </c>
      <c r="B27" s="64"/>
      <c r="C27" s="65"/>
      <c r="D27" s="40" t="s">
        <v>116</v>
      </c>
      <c r="E27" s="40" t="s">
        <v>117</v>
      </c>
      <c r="F27" s="63" t="s">
        <v>23</v>
      </c>
      <c r="G27" s="58">
        <v>0.0047</v>
      </c>
      <c r="H27" s="40" t="s">
        <v>36</v>
      </c>
      <c r="I27" s="40" t="s">
        <v>36</v>
      </c>
      <c r="J27" s="40" t="s">
        <v>26</v>
      </c>
      <c r="K27" s="81" t="s">
        <v>77</v>
      </c>
      <c r="L27" s="71" t="s">
        <v>118</v>
      </c>
    </row>
    <row r="28" ht="178" customHeight="1" spans="1:12">
      <c r="A28" s="61">
        <v>22</v>
      </c>
      <c r="B28" s="64"/>
      <c r="C28" s="64"/>
      <c r="D28" s="40" t="s">
        <v>119</v>
      </c>
      <c r="E28" s="40" t="s">
        <v>120</v>
      </c>
      <c r="F28" s="63" t="s">
        <v>43</v>
      </c>
      <c r="G28" s="58">
        <v>0.0058</v>
      </c>
      <c r="H28" s="40" t="s">
        <v>121</v>
      </c>
      <c r="I28" s="40" t="s">
        <v>25</v>
      </c>
      <c r="J28" s="40" t="s">
        <v>26</v>
      </c>
      <c r="K28" s="79" t="s">
        <v>52</v>
      </c>
      <c r="L28" s="71" t="s">
        <v>122</v>
      </c>
    </row>
    <row r="29" ht="156" customHeight="1" spans="1:12">
      <c r="A29" s="61">
        <v>23</v>
      </c>
      <c r="B29" s="64"/>
      <c r="C29" s="65"/>
      <c r="D29" s="40" t="s">
        <v>123</v>
      </c>
      <c r="E29" s="40" t="s">
        <v>124</v>
      </c>
      <c r="F29" s="63" t="s">
        <v>23</v>
      </c>
      <c r="G29" s="58">
        <v>0.0046</v>
      </c>
      <c r="H29" s="40" t="s">
        <v>36</v>
      </c>
      <c r="I29" s="40" t="s">
        <v>36</v>
      </c>
      <c r="J29" s="40" t="s">
        <v>26</v>
      </c>
      <c r="K29" s="79" t="s">
        <v>77</v>
      </c>
      <c r="L29" s="71" t="s">
        <v>81</v>
      </c>
    </row>
    <row r="30" ht="190" customHeight="1" spans="1:12">
      <c r="A30" s="61">
        <v>24</v>
      </c>
      <c r="B30" s="64"/>
      <c r="C30" s="65"/>
      <c r="D30" s="40" t="s">
        <v>125</v>
      </c>
      <c r="E30" s="40" t="s">
        <v>126</v>
      </c>
      <c r="F30" s="63" t="s">
        <v>23</v>
      </c>
      <c r="G30" s="58">
        <v>0.0047</v>
      </c>
      <c r="H30" s="40" t="s">
        <v>36</v>
      </c>
      <c r="I30" s="40" t="s">
        <v>36</v>
      </c>
      <c r="J30" s="40" t="s">
        <v>26</v>
      </c>
      <c r="K30" s="79" t="s">
        <v>77</v>
      </c>
      <c r="L30" s="71" t="s">
        <v>127</v>
      </c>
    </row>
    <row r="31" ht="228" customHeight="1" spans="1:12">
      <c r="A31" s="61">
        <v>25</v>
      </c>
      <c r="B31" s="64"/>
      <c r="C31" s="63" t="s">
        <v>128</v>
      </c>
      <c r="D31" s="40" t="s">
        <v>129</v>
      </c>
      <c r="E31" s="40" t="s">
        <v>130</v>
      </c>
      <c r="F31" s="63" t="s">
        <v>23</v>
      </c>
      <c r="G31" s="58">
        <v>0.0047</v>
      </c>
      <c r="H31" s="40" t="s">
        <v>36</v>
      </c>
      <c r="I31" s="40" t="s">
        <v>36</v>
      </c>
      <c r="J31" s="40" t="s">
        <v>26</v>
      </c>
      <c r="K31" s="79" t="s">
        <v>77</v>
      </c>
      <c r="L31" s="71" t="s">
        <v>131</v>
      </c>
    </row>
    <row r="32" ht="166" customHeight="1" spans="1:12">
      <c r="A32" s="61">
        <v>26</v>
      </c>
      <c r="B32" s="64"/>
      <c r="C32" s="65"/>
      <c r="D32" s="40" t="s">
        <v>132</v>
      </c>
      <c r="E32" s="40" t="s">
        <v>133</v>
      </c>
      <c r="F32" s="63" t="s">
        <v>43</v>
      </c>
      <c r="G32" s="58">
        <v>0.0117</v>
      </c>
      <c r="H32" s="40" t="s">
        <v>134</v>
      </c>
      <c r="I32" s="66" t="s">
        <v>135</v>
      </c>
      <c r="J32" s="40" t="s">
        <v>26</v>
      </c>
      <c r="K32" s="79" t="s">
        <v>52</v>
      </c>
      <c r="L32" s="71" t="s">
        <v>136</v>
      </c>
    </row>
    <row r="33" ht="146" customHeight="1" spans="1:12">
      <c r="A33" s="61">
        <v>27</v>
      </c>
      <c r="B33" s="64"/>
      <c r="C33" s="63" t="s">
        <v>137</v>
      </c>
      <c r="D33" s="63" t="s">
        <v>138</v>
      </c>
      <c r="E33" s="40" t="s">
        <v>139</v>
      </c>
      <c r="F33" s="63" t="s">
        <v>140</v>
      </c>
      <c r="G33" s="58">
        <v>0.0076</v>
      </c>
      <c r="H33" s="40" t="s">
        <v>141</v>
      </c>
      <c r="I33" s="40" t="s">
        <v>141</v>
      </c>
      <c r="J33" s="40" t="s">
        <v>142</v>
      </c>
      <c r="K33" s="79" t="s">
        <v>77</v>
      </c>
      <c r="L33" s="71" t="s">
        <v>143</v>
      </c>
    </row>
    <row r="34" ht="110" customHeight="1" spans="1:12">
      <c r="A34" s="61">
        <v>28</v>
      </c>
      <c r="B34" s="64"/>
      <c r="C34" s="65"/>
      <c r="D34" s="63" t="s">
        <v>144</v>
      </c>
      <c r="E34" s="40" t="s">
        <v>145</v>
      </c>
      <c r="F34" s="63" t="s">
        <v>140</v>
      </c>
      <c r="G34" s="58">
        <v>0.007</v>
      </c>
      <c r="H34" s="40" t="s">
        <v>146</v>
      </c>
      <c r="I34" s="40" t="s">
        <v>146</v>
      </c>
      <c r="J34" s="40" t="s">
        <v>142</v>
      </c>
      <c r="K34" s="79" t="s">
        <v>77</v>
      </c>
      <c r="L34" s="71" t="s">
        <v>147</v>
      </c>
    </row>
    <row r="35" ht="116" customHeight="1" spans="1:12">
      <c r="A35" s="61">
        <v>29</v>
      </c>
      <c r="B35" s="62" t="s">
        <v>148</v>
      </c>
      <c r="C35" s="63" t="s">
        <v>149</v>
      </c>
      <c r="D35" s="40" t="s">
        <v>149</v>
      </c>
      <c r="E35" s="40" t="s">
        <v>150</v>
      </c>
      <c r="F35" s="63" t="s">
        <v>43</v>
      </c>
      <c r="G35" s="58">
        <v>0.0023</v>
      </c>
      <c r="H35" s="40" t="s">
        <v>151</v>
      </c>
      <c r="I35" s="40" t="s">
        <v>152</v>
      </c>
      <c r="J35" s="40" t="s">
        <v>153</v>
      </c>
      <c r="K35" s="81" t="s">
        <v>77</v>
      </c>
      <c r="L35" s="82" t="s">
        <v>154</v>
      </c>
    </row>
    <row r="36" ht="292" customHeight="1" spans="1:12">
      <c r="A36" s="61">
        <v>30</v>
      </c>
      <c r="B36" s="64"/>
      <c r="C36" s="63" t="s">
        <v>155</v>
      </c>
      <c r="D36" s="40" t="s">
        <v>156</v>
      </c>
      <c r="E36" s="40" t="s">
        <v>157</v>
      </c>
      <c r="F36" s="63" t="s">
        <v>158</v>
      </c>
      <c r="G36" s="58">
        <v>0.0047</v>
      </c>
      <c r="H36" s="40" t="s">
        <v>25</v>
      </c>
      <c r="I36" s="40" t="s">
        <v>159</v>
      </c>
      <c r="J36" s="40" t="s">
        <v>26</v>
      </c>
      <c r="K36" s="81" t="s">
        <v>77</v>
      </c>
      <c r="L36" s="82" t="s">
        <v>160</v>
      </c>
    </row>
    <row r="37" ht="258" customHeight="1" spans="1:12">
      <c r="A37" s="61">
        <v>31</v>
      </c>
      <c r="B37" s="62" t="s">
        <v>161</v>
      </c>
      <c r="C37" s="63" t="s">
        <v>162</v>
      </c>
      <c r="D37" s="40" t="s">
        <v>163</v>
      </c>
      <c r="E37" s="40" t="s">
        <v>164</v>
      </c>
      <c r="F37" s="63" t="s">
        <v>165</v>
      </c>
      <c r="G37" s="58">
        <v>0.0117</v>
      </c>
      <c r="H37" s="40" t="s">
        <v>166</v>
      </c>
      <c r="I37" s="40" t="s">
        <v>167</v>
      </c>
      <c r="J37" s="40" t="s">
        <v>26</v>
      </c>
      <c r="K37" s="80" t="s">
        <v>168</v>
      </c>
      <c r="L37" s="71" t="s">
        <v>169</v>
      </c>
    </row>
    <row r="38" ht="142" customHeight="1" spans="1:12">
      <c r="A38" s="61">
        <v>32</v>
      </c>
      <c r="B38" s="64"/>
      <c r="C38" s="65"/>
      <c r="D38" s="40" t="s">
        <v>170</v>
      </c>
      <c r="E38" s="40" t="s">
        <v>171</v>
      </c>
      <c r="F38" s="63" t="s">
        <v>165</v>
      </c>
      <c r="G38" s="58">
        <v>0.0117</v>
      </c>
      <c r="H38" s="40" t="s">
        <v>166</v>
      </c>
      <c r="I38" s="40" t="s">
        <v>172</v>
      </c>
      <c r="J38" s="40" t="s">
        <v>26</v>
      </c>
      <c r="K38" s="80" t="s">
        <v>168</v>
      </c>
      <c r="L38" s="71" t="s">
        <v>173</v>
      </c>
    </row>
    <row r="39" ht="142" customHeight="1" spans="1:12">
      <c r="A39" s="61">
        <v>33</v>
      </c>
      <c r="B39" s="64"/>
      <c r="C39" s="65"/>
      <c r="D39" s="40" t="s">
        <v>174</v>
      </c>
      <c r="E39" s="40" t="s">
        <v>175</v>
      </c>
      <c r="F39" s="63" t="s">
        <v>165</v>
      </c>
      <c r="G39" s="58">
        <v>0.0117</v>
      </c>
      <c r="H39" s="40" t="s">
        <v>166</v>
      </c>
      <c r="I39" s="40" t="s">
        <v>167</v>
      </c>
      <c r="J39" s="40" t="s">
        <v>26</v>
      </c>
      <c r="K39" s="80" t="s">
        <v>168</v>
      </c>
      <c r="L39" s="71" t="s">
        <v>176</v>
      </c>
    </row>
    <row r="40" ht="142" customHeight="1" spans="1:12">
      <c r="A40" s="61">
        <v>34</v>
      </c>
      <c r="B40" s="64"/>
      <c r="C40" s="65"/>
      <c r="D40" s="40" t="s">
        <v>177</v>
      </c>
      <c r="E40" s="40" t="s">
        <v>178</v>
      </c>
      <c r="F40" s="63" t="s">
        <v>165</v>
      </c>
      <c r="G40" s="58">
        <v>0.0117</v>
      </c>
      <c r="H40" s="40" t="s">
        <v>166</v>
      </c>
      <c r="I40" s="40" t="s">
        <v>167</v>
      </c>
      <c r="J40" s="40" t="s">
        <v>26</v>
      </c>
      <c r="K40" s="80" t="s">
        <v>168</v>
      </c>
      <c r="L40" s="71" t="s">
        <v>176</v>
      </c>
    </row>
    <row r="41" ht="142" customHeight="1" spans="1:12">
      <c r="A41" s="61">
        <v>35</v>
      </c>
      <c r="B41" s="64"/>
      <c r="C41" s="65"/>
      <c r="D41" s="40" t="s">
        <v>179</v>
      </c>
      <c r="E41" s="40" t="s">
        <v>180</v>
      </c>
      <c r="F41" s="63" t="s">
        <v>23</v>
      </c>
      <c r="G41" s="58">
        <v>0.0029</v>
      </c>
      <c r="H41" s="40" t="s">
        <v>181</v>
      </c>
      <c r="I41" s="40" t="s">
        <v>25</v>
      </c>
      <c r="J41" s="40" t="s">
        <v>26</v>
      </c>
      <c r="K41" s="80" t="s">
        <v>168</v>
      </c>
      <c r="L41" s="71" t="s">
        <v>182</v>
      </c>
    </row>
    <row r="42" ht="138" customHeight="1" spans="1:12">
      <c r="A42" s="61">
        <v>36</v>
      </c>
      <c r="B42" s="64"/>
      <c r="C42" s="65"/>
      <c r="D42" s="40" t="s">
        <v>183</v>
      </c>
      <c r="E42" s="40" t="s">
        <v>184</v>
      </c>
      <c r="F42" s="63" t="s">
        <v>23</v>
      </c>
      <c r="G42" s="58">
        <v>0.0029</v>
      </c>
      <c r="H42" s="40" t="s">
        <v>185</v>
      </c>
      <c r="I42" s="40" t="s">
        <v>186</v>
      </c>
      <c r="J42" s="40" t="s">
        <v>26</v>
      </c>
      <c r="K42" s="80" t="s">
        <v>168</v>
      </c>
      <c r="L42" s="71" t="s">
        <v>187</v>
      </c>
    </row>
    <row r="43" ht="148" customHeight="1" spans="1:12">
      <c r="A43" s="61">
        <v>37</v>
      </c>
      <c r="B43" s="64"/>
      <c r="C43" s="65"/>
      <c r="D43" s="40" t="s">
        <v>188</v>
      </c>
      <c r="E43" s="40" t="s">
        <v>189</v>
      </c>
      <c r="F43" s="63" t="s">
        <v>23</v>
      </c>
      <c r="G43" s="58">
        <v>0.0029</v>
      </c>
      <c r="H43" s="40" t="s">
        <v>181</v>
      </c>
      <c r="I43" s="40" t="s">
        <v>25</v>
      </c>
      <c r="J43" s="40" t="s">
        <v>26</v>
      </c>
      <c r="K43" s="80" t="s">
        <v>168</v>
      </c>
      <c r="L43" s="71" t="s">
        <v>190</v>
      </c>
    </row>
    <row r="44" ht="172" customHeight="1" spans="1:12">
      <c r="A44" s="61">
        <v>38</v>
      </c>
      <c r="B44" s="64"/>
      <c r="C44" s="65"/>
      <c r="D44" s="40" t="s">
        <v>191</v>
      </c>
      <c r="E44" s="40" t="s">
        <v>192</v>
      </c>
      <c r="F44" s="63" t="s">
        <v>165</v>
      </c>
      <c r="G44" s="58">
        <v>0.0117</v>
      </c>
      <c r="H44" s="40" t="s">
        <v>193</v>
      </c>
      <c r="I44" s="40" t="s">
        <v>194</v>
      </c>
      <c r="J44" s="40" t="s">
        <v>26</v>
      </c>
      <c r="K44" s="80" t="s">
        <v>168</v>
      </c>
      <c r="L44" s="71" t="s">
        <v>195</v>
      </c>
    </row>
    <row r="45" ht="252" customHeight="1" spans="1:12">
      <c r="A45" s="61">
        <v>39</v>
      </c>
      <c r="B45" s="64"/>
      <c r="C45" s="65"/>
      <c r="D45" s="40" t="s">
        <v>196</v>
      </c>
      <c r="E45" s="40" t="s">
        <v>197</v>
      </c>
      <c r="F45" s="63" t="s">
        <v>198</v>
      </c>
      <c r="G45" s="58">
        <v>0.0058</v>
      </c>
      <c r="H45" s="40" t="s">
        <v>199</v>
      </c>
      <c r="I45" s="40" t="s">
        <v>199</v>
      </c>
      <c r="J45" s="40" t="s">
        <v>26</v>
      </c>
      <c r="K45" s="80" t="s">
        <v>168</v>
      </c>
      <c r="L45" s="71" t="s">
        <v>200</v>
      </c>
    </row>
    <row r="46" ht="200" spans="1:12">
      <c r="A46" s="61">
        <v>40</v>
      </c>
      <c r="B46" s="64"/>
      <c r="C46" s="65"/>
      <c r="D46" s="40" t="s">
        <v>201</v>
      </c>
      <c r="E46" s="40" t="s">
        <v>202</v>
      </c>
      <c r="F46" s="63" t="s">
        <v>203</v>
      </c>
      <c r="G46" s="58">
        <v>0.0058</v>
      </c>
      <c r="H46" s="40" t="s">
        <v>204</v>
      </c>
      <c r="I46" s="40" t="s">
        <v>204</v>
      </c>
      <c r="J46" s="40" t="s">
        <v>26</v>
      </c>
      <c r="K46" s="80" t="s">
        <v>168</v>
      </c>
      <c r="L46" s="71" t="s">
        <v>205</v>
      </c>
    </row>
    <row r="47" ht="160" spans="1:12">
      <c r="A47" s="61">
        <v>41</v>
      </c>
      <c r="B47" s="64"/>
      <c r="C47" s="65"/>
      <c r="D47" s="40" t="s">
        <v>206</v>
      </c>
      <c r="E47" s="40" t="s">
        <v>207</v>
      </c>
      <c r="F47" s="63" t="s">
        <v>208</v>
      </c>
      <c r="G47" s="58">
        <v>0.0029</v>
      </c>
      <c r="H47" s="40" t="s">
        <v>209</v>
      </c>
      <c r="I47" s="40" t="s">
        <v>209</v>
      </c>
      <c r="J47" s="40" t="s">
        <v>26</v>
      </c>
      <c r="K47" s="80" t="s">
        <v>210</v>
      </c>
      <c r="L47" s="71" t="s">
        <v>211</v>
      </c>
    </row>
    <row r="48" ht="154" customHeight="1" spans="1:12">
      <c r="A48" s="61">
        <v>42</v>
      </c>
      <c r="B48" s="62" t="s">
        <v>212</v>
      </c>
      <c r="C48" s="63" t="s">
        <v>213</v>
      </c>
      <c r="D48" s="63" t="s">
        <v>214</v>
      </c>
      <c r="E48" s="40" t="s">
        <v>215</v>
      </c>
      <c r="F48" s="63" t="s">
        <v>165</v>
      </c>
      <c r="G48" s="58">
        <v>0.0175</v>
      </c>
      <c r="H48" s="40" t="s">
        <v>216</v>
      </c>
      <c r="I48" s="40" t="s">
        <v>217</v>
      </c>
      <c r="J48" s="83" t="s">
        <v>26</v>
      </c>
      <c r="K48" s="80" t="s">
        <v>27</v>
      </c>
      <c r="L48" s="71" t="s">
        <v>218</v>
      </c>
    </row>
    <row r="49" ht="154" customHeight="1" spans="1:12">
      <c r="A49" s="61">
        <v>43</v>
      </c>
      <c r="B49" s="65"/>
      <c r="C49" s="65"/>
      <c r="D49" s="65"/>
      <c r="E49" s="40" t="s">
        <v>219</v>
      </c>
      <c r="F49" s="63" t="s">
        <v>43</v>
      </c>
      <c r="G49" s="58">
        <v>0.007</v>
      </c>
      <c r="H49" s="40" t="s">
        <v>220</v>
      </c>
      <c r="I49" s="40" t="s">
        <v>221</v>
      </c>
      <c r="J49" s="83" t="s">
        <v>26</v>
      </c>
      <c r="K49" s="79" t="s">
        <v>52</v>
      </c>
      <c r="L49" s="71" t="s">
        <v>222</v>
      </c>
    </row>
    <row r="50" ht="154" customHeight="1" spans="1:12">
      <c r="A50" s="61">
        <v>44</v>
      </c>
      <c r="B50" s="65"/>
      <c r="C50" s="65"/>
      <c r="D50" s="65"/>
      <c r="E50" s="40" t="s">
        <v>223</v>
      </c>
      <c r="F50" s="63" t="s">
        <v>43</v>
      </c>
      <c r="G50" s="58">
        <v>0.0152</v>
      </c>
      <c r="H50" s="40" t="s">
        <v>224</v>
      </c>
      <c r="I50" s="40" t="s">
        <v>225</v>
      </c>
      <c r="J50" s="83" t="s">
        <v>26</v>
      </c>
      <c r="K50" s="79" t="s">
        <v>52</v>
      </c>
      <c r="L50" s="82" t="s">
        <v>226</v>
      </c>
    </row>
    <row r="51" ht="154" customHeight="1" spans="1:12">
      <c r="A51" s="61">
        <v>45</v>
      </c>
      <c r="B51" s="65"/>
      <c r="C51" s="65"/>
      <c r="D51" s="65"/>
      <c r="E51" s="40" t="s">
        <v>227</v>
      </c>
      <c r="F51" s="63" t="s">
        <v>43</v>
      </c>
      <c r="G51" s="58">
        <v>0.0082</v>
      </c>
      <c r="H51" s="40" t="s">
        <v>224</v>
      </c>
      <c r="I51" s="40" t="s">
        <v>225</v>
      </c>
      <c r="J51" s="83" t="s">
        <v>26</v>
      </c>
      <c r="K51" s="79" t="s">
        <v>52</v>
      </c>
      <c r="L51" s="82" t="s">
        <v>228</v>
      </c>
    </row>
    <row r="52" ht="154" customHeight="1" spans="1:12">
      <c r="A52" s="61">
        <v>46</v>
      </c>
      <c r="B52" s="65"/>
      <c r="C52" s="65"/>
      <c r="D52" s="65"/>
      <c r="E52" s="40" t="s">
        <v>229</v>
      </c>
      <c r="F52" s="63" t="s">
        <v>95</v>
      </c>
      <c r="G52" s="58">
        <v>0.007</v>
      </c>
      <c r="H52" s="40" t="s">
        <v>230</v>
      </c>
      <c r="I52" s="40" t="s">
        <v>231</v>
      </c>
      <c r="J52" s="83" t="s">
        <v>26</v>
      </c>
      <c r="K52" s="80" t="s">
        <v>27</v>
      </c>
      <c r="L52" s="71" t="s">
        <v>232</v>
      </c>
    </row>
    <row r="53" ht="154" customHeight="1" spans="1:12">
      <c r="A53" s="61">
        <v>47</v>
      </c>
      <c r="B53" s="65"/>
      <c r="C53" s="65"/>
      <c r="D53" s="65"/>
      <c r="E53" s="40" t="s">
        <v>233</v>
      </c>
      <c r="F53" s="63" t="s">
        <v>43</v>
      </c>
      <c r="G53" s="58">
        <v>0.0035</v>
      </c>
      <c r="H53" s="40" t="s">
        <v>234</v>
      </c>
      <c r="I53" s="40" t="s">
        <v>152</v>
      </c>
      <c r="J53" s="83" t="s">
        <v>26</v>
      </c>
      <c r="K53" s="80" t="s">
        <v>77</v>
      </c>
      <c r="L53" s="82" t="s">
        <v>235</v>
      </c>
    </row>
    <row r="54" s="26" customFormat="1" ht="250" customHeight="1" spans="1:12">
      <c r="A54" s="61">
        <v>48</v>
      </c>
      <c r="B54" s="67"/>
      <c r="C54" s="63" t="s">
        <v>236</v>
      </c>
      <c r="D54" s="40" t="s">
        <v>237</v>
      </c>
      <c r="E54" s="40" t="s">
        <v>238</v>
      </c>
      <c r="F54" s="63" t="s">
        <v>239</v>
      </c>
      <c r="G54" s="58">
        <v>0.0117</v>
      </c>
      <c r="H54" s="40" t="s">
        <v>240</v>
      </c>
      <c r="I54" s="40" t="s">
        <v>241</v>
      </c>
      <c r="J54" s="83" t="s">
        <v>26</v>
      </c>
      <c r="K54" s="80" t="s">
        <v>242</v>
      </c>
      <c r="L54" s="71" t="s">
        <v>243</v>
      </c>
    </row>
    <row r="55" ht="130" customHeight="1" spans="1:12">
      <c r="A55" s="61">
        <v>49</v>
      </c>
      <c r="B55" s="65"/>
      <c r="C55" s="65"/>
      <c r="D55" s="40" t="s">
        <v>244</v>
      </c>
      <c r="E55" s="40" t="s">
        <v>245</v>
      </c>
      <c r="F55" s="63" t="s">
        <v>43</v>
      </c>
      <c r="G55" s="58">
        <v>0.0058</v>
      </c>
      <c r="H55" s="40" t="s">
        <v>246</v>
      </c>
      <c r="I55" s="40" t="s">
        <v>152</v>
      </c>
      <c r="J55" s="84" t="s">
        <v>26</v>
      </c>
      <c r="K55" s="80" t="s">
        <v>77</v>
      </c>
      <c r="L55" s="85" t="s">
        <v>247</v>
      </c>
    </row>
    <row r="56" ht="130" customHeight="1" spans="1:12">
      <c r="A56" s="61">
        <v>50</v>
      </c>
      <c r="B56" s="65"/>
      <c r="C56" s="63" t="s">
        <v>248</v>
      </c>
      <c r="D56" s="40" t="s">
        <v>249</v>
      </c>
      <c r="E56" s="40" t="s">
        <v>250</v>
      </c>
      <c r="F56" s="63" t="s">
        <v>43</v>
      </c>
      <c r="G56" s="58">
        <v>0.0058</v>
      </c>
      <c r="H56" s="40" t="s">
        <v>251</v>
      </c>
      <c r="I56" s="40" t="s">
        <v>152</v>
      </c>
      <c r="J56" s="84" t="s">
        <v>26</v>
      </c>
      <c r="K56" s="80" t="s">
        <v>77</v>
      </c>
      <c r="L56" s="85" t="s">
        <v>252</v>
      </c>
    </row>
    <row r="57" ht="130" customHeight="1" spans="1:12">
      <c r="A57" s="61">
        <v>51</v>
      </c>
      <c r="B57" s="65"/>
      <c r="C57" s="65"/>
      <c r="D57" s="40" t="s">
        <v>253</v>
      </c>
      <c r="E57" s="40" t="s">
        <v>254</v>
      </c>
      <c r="F57" s="63" t="s">
        <v>43</v>
      </c>
      <c r="G57" s="58">
        <v>0.0117</v>
      </c>
      <c r="H57" s="40" t="s">
        <v>251</v>
      </c>
      <c r="I57" s="40" t="s">
        <v>152</v>
      </c>
      <c r="J57" s="84" t="s">
        <v>26</v>
      </c>
      <c r="K57" s="80" t="s">
        <v>77</v>
      </c>
      <c r="L57" s="85" t="s">
        <v>255</v>
      </c>
    </row>
    <row r="58" ht="130" customHeight="1" spans="1:12">
      <c r="A58" s="61">
        <v>52</v>
      </c>
      <c r="B58" s="65"/>
      <c r="C58" s="65"/>
      <c r="D58" s="40" t="s">
        <v>256</v>
      </c>
      <c r="E58" s="40" t="s">
        <v>257</v>
      </c>
      <c r="F58" s="63" t="s">
        <v>43</v>
      </c>
      <c r="G58" s="58">
        <v>0.0058</v>
      </c>
      <c r="H58" s="40" t="s">
        <v>251</v>
      </c>
      <c r="I58" s="40" t="s">
        <v>152</v>
      </c>
      <c r="J58" s="84" t="s">
        <v>26</v>
      </c>
      <c r="K58" s="80" t="s">
        <v>77</v>
      </c>
      <c r="L58" s="85" t="s">
        <v>258</v>
      </c>
    </row>
    <row r="59" ht="130" customHeight="1" spans="1:12">
      <c r="A59" s="61">
        <v>53</v>
      </c>
      <c r="B59" s="65"/>
      <c r="C59" s="65"/>
      <c r="D59" s="40" t="s">
        <v>259</v>
      </c>
      <c r="E59" s="40" t="s">
        <v>260</v>
      </c>
      <c r="F59" s="63" t="s">
        <v>43</v>
      </c>
      <c r="G59" s="58">
        <v>0.0058</v>
      </c>
      <c r="H59" s="40" t="s">
        <v>251</v>
      </c>
      <c r="I59" s="40" t="s">
        <v>152</v>
      </c>
      <c r="J59" s="84" t="s">
        <v>26</v>
      </c>
      <c r="K59" s="80" t="s">
        <v>77</v>
      </c>
      <c r="L59" s="85" t="s">
        <v>261</v>
      </c>
    </row>
    <row r="60" ht="288" customHeight="1" spans="1:12">
      <c r="A60" s="61">
        <v>54</v>
      </c>
      <c r="B60" s="65"/>
      <c r="C60" s="40" t="s">
        <v>262</v>
      </c>
      <c r="D60" s="40" t="s">
        <v>262</v>
      </c>
      <c r="E60" s="40" t="s">
        <v>263</v>
      </c>
      <c r="F60" s="63" t="s">
        <v>140</v>
      </c>
      <c r="G60" s="58">
        <v>0.0117</v>
      </c>
      <c r="H60" s="40" t="s">
        <v>264</v>
      </c>
      <c r="I60" s="40" t="s">
        <v>264</v>
      </c>
      <c r="J60" s="83" t="s">
        <v>26</v>
      </c>
      <c r="K60" s="79" t="s">
        <v>265</v>
      </c>
      <c r="L60" s="71" t="s">
        <v>266</v>
      </c>
    </row>
    <row r="61" ht="206" customHeight="1" spans="1:12">
      <c r="A61" s="61">
        <v>55</v>
      </c>
      <c r="B61" s="62" t="s">
        <v>267</v>
      </c>
      <c r="C61" s="40" t="s">
        <v>268</v>
      </c>
      <c r="D61" s="40" t="s">
        <v>269</v>
      </c>
      <c r="E61" s="40" t="s">
        <v>270</v>
      </c>
      <c r="F61" s="63" t="s">
        <v>165</v>
      </c>
      <c r="G61" s="58">
        <v>0.0012</v>
      </c>
      <c r="H61" s="40" t="s">
        <v>271</v>
      </c>
      <c r="I61" s="40" t="s">
        <v>272</v>
      </c>
      <c r="J61" s="40" t="s">
        <v>26</v>
      </c>
      <c r="K61" s="79" t="s">
        <v>52</v>
      </c>
      <c r="L61" s="71" t="s">
        <v>273</v>
      </c>
    </row>
    <row r="62" ht="118" customHeight="1" spans="1:12">
      <c r="A62" s="61">
        <v>56</v>
      </c>
      <c r="B62" s="64"/>
      <c r="C62" s="64"/>
      <c r="D62" s="40" t="s">
        <v>274</v>
      </c>
      <c r="E62" s="40" t="s">
        <v>275</v>
      </c>
      <c r="F62" s="63" t="s">
        <v>276</v>
      </c>
      <c r="G62" s="58">
        <v>0.0047</v>
      </c>
      <c r="H62" s="40" t="s">
        <v>277</v>
      </c>
      <c r="I62" s="40" t="s">
        <v>278</v>
      </c>
      <c r="J62" s="40" t="s">
        <v>26</v>
      </c>
      <c r="K62" s="79" t="s">
        <v>265</v>
      </c>
      <c r="L62" s="71" t="s">
        <v>279</v>
      </c>
    </row>
    <row r="63" ht="118" customHeight="1" spans="1:12">
      <c r="A63" s="61">
        <v>57</v>
      </c>
      <c r="B63" s="64"/>
      <c r="C63" s="64"/>
      <c r="D63" s="40" t="s">
        <v>280</v>
      </c>
      <c r="E63" s="40" t="s">
        <v>281</v>
      </c>
      <c r="F63" s="63" t="s">
        <v>276</v>
      </c>
      <c r="G63" s="58">
        <v>0.0047</v>
      </c>
      <c r="H63" s="40" t="s">
        <v>277</v>
      </c>
      <c r="I63" s="40" t="s">
        <v>278</v>
      </c>
      <c r="J63" s="40" t="s">
        <v>26</v>
      </c>
      <c r="K63" s="79" t="s">
        <v>265</v>
      </c>
      <c r="L63" s="71" t="s">
        <v>279</v>
      </c>
    </row>
    <row r="64" ht="118" customHeight="1" spans="1:12">
      <c r="A64" s="61">
        <v>58</v>
      </c>
      <c r="B64" s="64"/>
      <c r="C64" s="65"/>
      <c r="D64" s="40" t="s">
        <v>282</v>
      </c>
      <c r="E64" s="40" t="s">
        <v>283</v>
      </c>
      <c r="F64" s="63" t="s">
        <v>276</v>
      </c>
      <c r="G64" s="58">
        <v>0.0023</v>
      </c>
      <c r="H64" s="40" t="s">
        <v>284</v>
      </c>
      <c r="I64" s="40" t="s">
        <v>285</v>
      </c>
      <c r="J64" s="40" t="s">
        <v>26</v>
      </c>
      <c r="K64" s="79" t="s">
        <v>77</v>
      </c>
      <c r="L64" s="82" t="s">
        <v>286</v>
      </c>
    </row>
    <row r="65" ht="118" customHeight="1" spans="1:12">
      <c r="A65" s="61">
        <v>59</v>
      </c>
      <c r="B65" s="64"/>
      <c r="C65" s="65"/>
      <c r="D65" s="40" t="s">
        <v>287</v>
      </c>
      <c r="E65" s="40" t="s">
        <v>288</v>
      </c>
      <c r="F65" s="63" t="s">
        <v>276</v>
      </c>
      <c r="G65" s="58">
        <v>0.0023</v>
      </c>
      <c r="H65" s="40" t="s">
        <v>284</v>
      </c>
      <c r="I65" s="40" t="s">
        <v>285</v>
      </c>
      <c r="J65" s="40" t="s">
        <v>26</v>
      </c>
      <c r="K65" s="79" t="s">
        <v>77</v>
      </c>
      <c r="L65" s="82" t="s">
        <v>289</v>
      </c>
    </row>
    <row r="66" ht="118" customHeight="1" spans="1:12">
      <c r="A66" s="61">
        <v>60</v>
      </c>
      <c r="B66" s="64"/>
      <c r="C66" s="65"/>
      <c r="D66" s="40" t="s">
        <v>290</v>
      </c>
      <c r="E66" s="40" t="s">
        <v>291</v>
      </c>
      <c r="F66" s="63" t="s">
        <v>292</v>
      </c>
      <c r="G66" s="58">
        <v>0.0023</v>
      </c>
      <c r="H66" s="40" t="s">
        <v>25</v>
      </c>
      <c r="I66" s="40" t="s">
        <v>293</v>
      </c>
      <c r="J66" s="40" t="s">
        <v>26</v>
      </c>
      <c r="K66" s="79" t="s">
        <v>52</v>
      </c>
      <c r="L66" s="71" t="s">
        <v>294</v>
      </c>
    </row>
    <row r="67" ht="118" customHeight="1" spans="1:12">
      <c r="A67" s="61">
        <v>61</v>
      </c>
      <c r="B67" s="64"/>
      <c r="C67" s="65"/>
      <c r="D67" s="40" t="s">
        <v>295</v>
      </c>
      <c r="E67" s="40" t="s">
        <v>296</v>
      </c>
      <c r="F67" s="63" t="s">
        <v>292</v>
      </c>
      <c r="G67" s="58">
        <v>0.0058</v>
      </c>
      <c r="H67" s="40" t="s">
        <v>25</v>
      </c>
      <c r="I67" s="40" t="s">
        <v>293</v>
      </c>
      <c r="J67" s="40" t="s">
        <v>26</v>
      </c>
      <c r="K67" s="80" t="s">
        <v>297</v>
      </c>
      <c r="L67" s="71" t="s">
        <v>298</v>
      </c>
    </row>
    <row r="68" ht="184" customHeight="1" spans="1:12">
      <c r="A68" s="61">
        <v>62</v>
      </c>
      <c r="B68" s="64"/>
      <c r="C68" s="65"/>
      <c r="D68" s="40" t="s">
        <v>299</v>
      </c>
      <c r="E68" s="40" t="s">
        <v>300</v>
      </c>
      <c r="F68" s="63" t="s">
        <v>23</v>
      </c>
      <c r="G68" s="58">
        <v>0.0117</v>
      </c>
      <c r="H68" s="40" t="s">
        <v>301</v>
      </c>
      <c r="I68" s="40" t="s">
        <v>302</v>
      </c>
      <c r="J68" s="40" t="s">
        <v>26</v>
      </c>
      <c r="K68" s="79" t="s">
        <v>303</v>
      </c>
      <c r="L68" s="71" t="s">
        <v>304</v>
      </c>
    </row>
    <row r="69" ht="144" customHeight="1" spans="1:12">
      <c r="A69" s="61">
        <v>63</v>
      </c>
      <c r="B69" s="62" t="s">
        <v>305</v>
      </c>
      <c r="C69" s="63" t="s">
        <v>306</v>
      </c>
      <c r="D69" s="40" t="s">
        <v>307</v>
      </c>
      <c r="E69" s="40" t="s">
        <v>308</v>
      </c>
      <c r="F69" s="63" t="s">
        <v>43</v>
      </c>
      <c r="G69" s="58">
        <v>0.0058</v>
      </c>
      <c r="H69" s="40" t="s">
        <v>309</v>
      </c>
      <c r="I69" s="40" t="s">
        <v>310</v>
      </c>
      <c r="J69" s="40" t="s">
        <v>26</v>
      </c>
      <c r="K69" s="79" t="s">
        <v>52</v>
      </c>
      <c r="L69" s="71" t="s">
        <v>311</v>
      </c>
    </row>
    <row r="70" ht="182" customHeight="1" spans="1:12">
      <c r="A70" s="61">
        <v>64</v>
      </c>
      <c r="B70" s="64"/>
      <c r="C70" s="63" t="s">
        <v>312</v>
      </c>
      <c r="D70" s="40" t="s">
        <v>313</v>
      </c>
      <c r="E70" s="40" t="s">
        <v>314</v>
      </c>
      <c r="F70" s="63" t="s">
        <v>23</v>
      </c>
      <c r="G70" s="58">
        <v>0.0117</v>
      </c>
      <c r="H70" s="40" t="s">
        <v>315</v>
      </c>
      <c r="I70" s="40" t="s">
        <v>25</v>
      </c>
      <c r="J70" s="40" t="s">
        <v>153</v>
      </c>
      <c r="K70" s="80" t="s">
        <v>297</v>
      </c>
      <c r="L70" s="71" t="s">
        <v>316</v>
      </c>
    </row>
    <row r="71" ht="146" customHeight="1" spans="1:12">
      <c r="A71" s="61">
        <v>65</v>
      </c>
      <c r="B71" s="64"/>
      <c r="C71" s="40" t="s">
        <v>317</v>
      </c>
      <c r="D71" s="86" t="s">
        <v>318</v>
      </c>
      <c r="E71" s="86" t="s">
        <v>319</v>
      </c>
      <c r="F71" s="63" t="s">
        <v>276</v>
      </c>
      <c r="G71" s="58">
        <v>0.0175</v>
      </c>
      <c r="H71" s="40" t="s">
        <v>320</v>
      </c>
      <c r="I71" s="40" t="s">
        <v>321</v>
      </c>
      <c r="J71" s="40" t="s">
        <v>142</v>
      </c>
      <c r="K71" s="80" t="s">
        <v>297</v>
      </c>
      <c r="L71" s="71" t="s">
        <v>322</v>
      </c>
    </row>
    <row r="72" ht="146" customHeight="1" spans="1:12">
      <c r="A72" s="61">
        <v>66</v>
      </c>
      <c r="B72" s="64"/>
      <c r="C72" s="40" t="s">
        <v>323</v>
      </c>
      <c r="D72" s="40" t="s">
        <v>323</v>
      </c>
      <c r="E72" s="40" t="s">
        <v>324</v>
      </c>
      <c r="F72" s="63" t="s">
        <v>276</v>
      </c>
      <c r="G72" s="58">
        <v>0.0012</v>
      </c>
      <c r="H72" s="40" t="s">
        <v>325</v>
      </c>
      <c r="I72" s="40" t="s">
        <v>326</v>
      </c>
      <c r="J72" s="40" t="s">
        <v>153</v>
      </c>
      <c r="K72" s="79" t="s">
        <v>52</v>
      </c>
      <c r="L72" s="71" t="s">
        <v>327</v>
      </c>
    </row>
    <row r="73" ht="146" customHeight="1" spans="1:12">
      <c r="A73" s="61">
        <v>67</v>
      </c>
      <c r="B73" s="64"/>
      <c r="C73" s="40" t="s">
        <v>328</v>
      </c>
      <c r="D73" s="40" t="s">
        <v>329</v>
      </c>
      <c r="E73" s="40" t="s">
        <v>330</v>
      </c>
      <c r="F73" s="63" t="s">
        <v>43</v>
      </c>
      <c r="G73" s="58">
        <v>0.0012</v>
      </c>
      <c r="H73" s="40" t="s">
        <v>331</v>
      </c>
      <c r="I73" s="40" t="s">
        <v>332</v>
      </c>
      <c r="J73" s="40" t="s">
        <v>153</v>
      </c>
      <c r="K73" s="79" t="s">
        <v>52</v>
      </c>
      <c r="L73" s="71" t="s">
        <v>333</v>
      </c>
    </row>
    <row r="74" ht="120" customHeight="1" spans="1:12">
      <c r="A74" s="37">
        <v>68</v>
      </c>
      <c r="B74" s="38" t="s">
        <v>334</v>
      </c>
      <c r="C74" s="41" t="s">
        <v>268</v>
      </c>
      <c r="D74" s="40" t="s">
        <v>335</v>
      </c>
      <c r="E74" s="41" t="s">
        <v>336</v>
      </c>
      <c r="F74" s="42" t="s">
        <v>140</v>
      </c>
      <c r="G74" s="58">
        <v>0.014</v>
      </c>
      <c r="H74" s="41" t="s">
        <v>337</v>
      </c>
      <c r="I74" s="41" t="s">
        <v>337</v>
      </c>
      <c r="J74" s="41" t="s">
        <v>153</v>
      </c>
      <c r="K74" s="99" t="s">
        <v>265</v>
      </c>
      <c r="L74" s="100" t="s">
        <v>338</v>
      </c>
    </row>
    <row r="75" ht="184" customHeight="1" spans="1:12">
      <c r="A75" s="37">
        <v>69</v>
      </c>
      <c r="B75" s="44"/>
      <c r="C75" s="41" t="s">
        <v>339</v>
      </c>
      <c r="D75" s="40" t="s">
        <v>340</v>
      </c>
      <c r="E75" s="41" t="s">
        <v>341</v>
      </c>
      <c r="F75" s="42" t="s">
        <v>140</v>
      </c>
      <c r="G75" s="58">
        <v>0.0268</v>
      </c>
      <c r="H75" s="41" t="s">
        <v>342</v>
      </c>
      <c r="I75" s="41" t="s">
        <v>342</v>
      </c>
      <c r="J75" s="41" t="s">
        <v>153</v>
      </c>
      <c r="K75" s="99" t="s">
        <v>265</v>
      </c>
      <c r="L75" s="100" t="s">
        <v>343</v>
      </c>
    </row>
    <row r="76" ht="236" customHeight="1" spans="1:12">
      <c r="A76" s="37">
        <v>70</v>
      </c>
      <c r="B76" s="44"/>
      <c r="C76" s="42" t="s">
        <v>344</v>
      </c>
      <c r="D76" s="40" t="s">
        <v>345</v>
      </c>
      <c r="E76" s="41" t="s">
        <v>346</v>
      </c>
      <c r="F76" s="42" t="s">
        <v>43</v>
      </c>
      <c r="G76" s="58">
        <v>0.0175</v>
      </c>
      <c r="H76" s="41" t="s">
        <v>347</v>
      </c>
      <c r="I76" s="41" t="s">
        <v>347</v>
      </c>
      <c r="J76" s="41" t="s">
        <v>26</v>
      </c>
      <c r="K76" s="43" t="s">
        <v>297</v>
      </c>
      <c r="L76" s="100" t="s">
        <v>348</v>
      </c>
    </row>
    <row r="77" ht="238" customHeight="1" spans="1:12">
      <c r="A77" s="37">
        <v>71</v>
      </c>
      <c r="B77" s="44"/>
      <c r="C77" s="87"/>
      <c r="D77" s="40" t="s">
        <v>349</v>
      </c>
      <c r="E77" s="41" t="s">
        <v>350</v>
      </c>
      <c r="F77" s="42" t="s">
        <v>43</v>
      </c>
      <c r="G77" s="58">
        <v>0.0175</v>
      </c>
      <c r="H77" s="41" t="s">
        <v>351</v>
      </c>
      <c r="I77" s="41" t="s">
        <v>351</v>
      </c>
      <c r="J77" s="41" t="s">
        <v>26</v>
      </c>
      <c r="K77" s="43" t="s">
        <v>297</v>
      </c>
      <c r="L77" s="100" t="s">
        <v>348</v>
      </c>
    </row>
    <row r="78" ht="409" customHeight="1" spans="1:12">
      <c r="A78" s="46">
        <v>72</v>
      </c>
      <c r="B78" s="44"/>
      <c r="C78" s="48" t="s">
        <v>352</v>
      </c>
      <c r="D78" s="47" t="s">
        <v>353</v>
      </c>
      <c r="E78" s="48" t="s">
        <v>354</v>
      </c>
      <c r="F78" s="39" t="s">
        <v>140</v>
      </c>
      <c r="G78" s="88">
        <v>0.0175</v>
      </c>
      <c r="H78" s="48" t="s">
        <v>355</v>
      </c>
      <c r="I78" s="101" t="s">
        <v>356</v>
      </c>
      <c r="J78" s="39" t="s">
        <v>153</v>
      </c>
      <c r="K78" s="102" t="s">
        <v>265</v>
      </c>
      <c r="L78" s="103" t="s">
        <v>357</v>
      </c>
    </row>
    <row r="79" ht="154" customHeight="1" spans="1:12">
      <c r="A79" s="54"/>
      <c r="B79" s="44"/>
      <c r="C79" s="52"/>
      <c r="D79" s="55"/>
      <c r="E79" s="56"/>
      <c r="F79" s="60"/>
      <c r="G79" s="89"/>
      <c r="H79" s="52"/>
      <c r="I79" s="104"/>
      <c r="J79" s="60"/>
      <c r="K79" s="105"/>
      <c r="L79" s="106"/>
    </row>
    <row r="80" ht="154" customHeight="1" spans="1:12">
      <c r="A80" s="61">
        <v>73</v>
      </c>
      <c r="B80" s="62" t="s">
        <v>358</v>
      </c>
      <c r="C80" s="40" t="s">
        <v>359</v>
      </c>
      <c r="D80" s="40" t="s">
        <v>360</v>
      </c>
      <c r="E80" s="40" t="s">
        <v>360</v>
      </c>
      <c r="F80" s="63" t="s">
        <v>276</v>
      </c>
      <c r="G80" s="58">
        <v>0.0012</v>
      </c>
      <c r="H80" s="90" t="s">
        <v>246</v>
      </c>
      <c r="I80" s="107" t="s">
        <v>361</v>
      </c>
      <c r="J80" s="40" t="s">
        <v>153</v>
      </c>
      <c r="K80" s="79" t="s">
        <v>52</v>
      </c>
      <c r="L80" s="71" t="s">
        <v>362</v>
      </c>
    </row>
    <row r="81" ht="156" customHeight="1" spans="1:12">
      <c r="A81" s="61">
        <v>74</v>
      </c>
      <c r="B81" s="64"/>
      <c r="C81" s="40" t="s">
        <v>363</v>
      </c>
      <c r="D81" s="40" t="s">
        <v>364</v>
      </c>
      <c r="E81" s="40" t="s">
        <v>364</v>
      </c>
      <c r="F81" s="63" t="s">
        <v>276</v>
      </c>
      <c r="G81" s="58">
        <v>0.0058</v>
      </c>
      <c r="H81" s="40" t="s">
        <v>365</v>
      </c>
      <c r="I81" s="40" t="s">
        <v>366</v>
      </c>
      <c r="J81" s="40" t="s">
        <v>153</v>
      </c>
      <c r="K81" s="80" t="s">
        <v>297</v>
      </c>
      <c r="L81" s="71" t="s">
        <v>367</v>
      </c>
    </row>
    <row r="82" ht="234" customHeight="1" spans="1:12">
      <c r="A82" s="61">
        <v>75</v>
      </c>
      <c r="B82" s="64"/>
      <c r="C82" s="40" t="s">
        <v>368</v>
      </c>
      <c r="D82" s="40" t="s">
        <v>368</v>
      </c>
      <c r="E82" s="40" t="s">
        <v>369</v>
      </c>
      <c r="F82" s="63" t="s">
        <v>140</v>
      </c>
      <c r="G82" s="58">
        <v>0.0023</v>
      </c>
      <c r="H82" s="40" t="s">
        <v>370</v>
      </c>
      <c r="I82" s="40" t="s">
        <v>370</v>
      </c>
      <c r="J82" s="40" t="s">
        <v>153</v>
      </c>
      <c r="K82" s="80" t="s">
        <v>52</v>
      </c>
      <c r="L82" s="71" t="s">
        <v>371</v>
      </c>
    </row>
    <row r="83" ht="158" customHeight="1" spans="1:12">
      <c r="A83" s="61">
        <v>76</v>
      </c>
      <c r="B83" s="64"/>
      <c r="C83" s="40" t="s">
        <v>372</v>
      </c>
      <c r="D83" s="40" t="s">
        <v>372</v>
      </c>
      <c r="E83" s="40" t="s">
        <v>373</v>
      </c>
      <c r="F83" s="63" t="s">
        <v>140</v>
      </c>
      <c r="G83" s="80">
        <v>0.0117</v>
      </c>
      <c r="H83" s="40" t="s">
        <v>374</v>
      </c>
      <c r="I83" s="40" t="s">
        <v>374</v>
      </c>
      <c r="J83" s="40" t="s">
        <v>153</v>
      </c>
      <c r="K83" s="80" t="s">
        <v>297</v>
      </c>
      <c r="L83" s="71" t="s">
        <v>375</v>
      </c>
    </row>
    <row r="84" ht="160" spans="1:12">
      <c r="A84" s="61">
        <v>77</v>
      </c>
      <c r="B84" s="64"/>
      <c r="C84" s="40" t="s">
        <v>376</v>
      </c>
      <c r="D84" s="40" t="s">
        <v>377</v>
      </c>
      <c r="E84" s="40" t="s">
        <v>378</v>
      </c>
      <c r="F84" s="63" t="s">
        <v>140</v>
      </c>
      <c r="G84" s="80">
        <v>0.0117</v>
      </c>
      <c r="H84" s="40" t="s">
        <v>379</v>
      </c>
      <c r="I84" s="40" t="s">
        <v>379</v>
      </c>
      <c r="J84" s="40" t="s">
        <v>153</v>
      </c>
      <c r="K84" s="79" t="s">
        <v>380</v>
      </c>
      <c r="L84" s="71" t="s">
        <v>381</v>
      </c>
    </row>
    <row r="85" ht="100" customHeight="1" spans="1:12">
      <c r="A85" s="37">
        <v>78</v>
      </c>
      <c r="B85" s="91" t="s">
        <v>382</v>
      </c>
      <c r="C85" s="92"/>
      <c r="D85" s="92"/>
      <c r="E85" s="92"/>
      <c r="F85" s="93"/>
      <c r="G85" s="43">
        <v>0.1</v>
      </c>
      <c r="H85" s="94"/>
      <c r="I85" s="87"/>
      <c r="J85" s="108"/>
      <c r="K85" s="109"/>
      <c r="L85" s="110" t="s">
        <v>383</v>
      </c>
    </row>
    <row r="86" ht="120" spans="1:12">
      <c r="A86" s="37">
        <v>79</v>
      </c>
      <c r="B86" s="95" t="s">
        <v>384</v>
      </c>
      <c r="C86" s="41" t="s">
        <v>385</v>
      </c>
      <c r="D86" s="41" t="s">
        <v>386</v>
      </c>
      <c r="E86" s="41" t="s">
        <v>387</v>
      </c>
      <c r="F86" s="42" t="s">
        <v>388</v>
      </c>
      <c r="G86" s="96">
        <v>0.01</v>
      </c>
      <c r="H86" s="41" t="s">
        <v>389</v>
      </c>
      <c r="I86" s="87"/>
      <c r="J86" s="43"/>
      <c r="K86" s="43"/>
      <c r="L86" s="110" t="s">
        <v>383</v>
      </c>
    </row>
    <row r="87" ht="120" spans="1:12">
      <c r="A87" s="37">
        <v>80</v>
      </c>
      <c r="B87" s="87"/>
      <c r="C87" s="87"/>
      <c r="D87" s="41" t="s">
        <v>390</v>
      </c>
      <c r="E87" s="41" t="s">
        <v>391</v>
      </c>
      <c r="F87" s="42" t="s">
        <v>388</v>
      </c>
      <c r="G87" s="96">
        <v>0.01</v>
      </c>
      <c r="H87" s="42" t="s">
        <v>392</v>
      </c>
      <c r="I87" s="87"/>
      <c r="J87" s="43"/>
      <c r="K87" s="43"/>
      <c r="L87" s="110" t="s">
        <v>383</v>
      </c>
    </row>
    <row r="88" ht="120" spans="1:12">
      <c r="A88" s="37">
        <v>81</v>
      </c>
      <c r="B88" s="87"/>
      <c r="C88" s="87"/>
      <c r="D88" s="41" t="s">
        <v>393</v>
      </c>
      <c r="E88" s="41" t="s">
        <v>394</v>
      </c>
      <c r="F88" s="42" t="s">
        <v>388</v>
      </c>
      <c r="G88" s="96">
        <v>0.01</v>
      </c>
      <c r="H88" s="42" t="s">
        <v>395</v>
      </c>
      <c r="I88" s="87"/>
      <c r="J88" s="43"/>
      <c r="K88" s="43"/>
      <c r="L88" s="111" t="s">
        <v>383</v>
      </c>
    </row>
    <row r="89" ht="120" spans="1:12">
      <c r="A89" s="37">
        <v>82</v>
      </c>
      <c r="B89" s="87"/>
      <c r="C89" s="87"/>
      <c r="D89" s="41" t="s">
        <v>396</v>
      </c>
      <c r="E89" s="41" t="s">
        <v>397</v>
      </c>
      <c r="F89" s="42" t="s">
        <v>388</v>
      </c>
      <c r="G89" s="96">
        <v>0.01</v>
      </c>
      <c r="H89" s="42" t="s">
        <v>398</v>
      </c>
      <c r="I89" s="87"/>
      <c r="J89" s="43"/>
      <c r="K89" s="43"/>
      <c r="L89" s="111" t="s">
        <v>383</v>
      </c>
    </row>
    <row r="90" ht="120.75" spans="1:12">
      <c r="A90" s="37">
        <v>83</v>
      </c>
      <c r="B90" s="87"/>
      <c r="C90" s="87"/>
      <c r="D90" s="97" t="s">
        <v>399</v>
      </c>
      <c r="E90" s="97" t="s">
        <v>400</v>
      </c>
      <c r="F90" s="98" t="s">
        <v>388</v>
      </c>
      <c r="G90" s="96">
        <v>0.01</v>
      </c>
      <c r="H90" s="98" t="s">
        <v>401</v>
      </c>
      <c r="I90" s="112"/>
      <c r="J90" s="113"/>
      <c r="K90" s="113"/>
      <c r="L90" s="114" t="s">
        <v>383</v>
      </c>
    </row>
  </sheetData>
  <autoFilter xmlns:etc="http://www.wps.cn/officeDocument/2017/etCustomData" ref="A4:L90" etc:filterBottomFollowUsedRange="0">
    <extLst/>
  </autoFilter>
  <mergeCells count="59">
    <mergeCell ref="A1:L1"/>
    <mergeCell ref="B3:C3"/>
    <mergeCell ref="D3:G3"/>
    <mergeCell ref="H3:I3"/>
    <mergeCell ref="B85:F85"/>
    <mergeCell ref="H85:I85"/>
    <mergeCell ref="H86:I86"/>
    <mergeCell ref="H87:I87"/>
    <mergeCell ref="H88:I88"/>
    <mergeCell ref="H89:I89"/>
    <mergeCell ref="H90:I90"/>
    <mergeCell ref="A3:A4"/>
    <mergeCell ref="A7:A9"/>
    <mergeCell ref="A78:A79"/>
    <mergeCell ref="B5:B11"/>
    <mergeCell ref="B12:B16"/>
    <mergeCell ref="B17:B34"/>
    <mergeCell ref="B35:B36"/>
    <mergeCell ref="B37:B47"/>
    <mergeCell ref="B48:B60"/>
    <mergeCell ref="B61:B68"/>
    <mergeCell ref="B69:B73"/>
    <mergeCell ref="B74:B78"/>
    <mergeCell ref="B80:B84"/>
    <mergeCell ref="B86:B90"/>
    <mergeCell ref="C5:C7"/>
    <mergeCell ref="C10:C11"/>
    <mergeCell ref="C17:C30"/>
    <mergeCell ref="C31:C32"/>
    <mergeCell ref="C33:C34"/>
    <mergeCell ref="C37:C47"/>
    <mergeCell ref="C48:C53"/>
    <mergeCell ref="C54:C55"/>
    <mergeCell ref="C56:C59"/>
    <mergeCell ref="C61:C68"/>
    <mergeCell ref="C76:C77"/>
    <mergeCell ref="C78:C79"/>
    <mergeCell ref="C86:C90"/>
    <mergeCell ref="D7:D9"/>
    <mergeCell ref="D48:D53"/>
    <mergeCell ref="D78:D79"/>
    <mergeCell ref="E7:E9"/>
    <mergeCell ref="E78:E79"/>
    <mergeCell ref="F7:F9"/>
    <mergeCell ref="F78:F79"/>
    <mergeCell ref="G7:G9"/>
    <mergeCell ref="G78:G79"/>
    <mergeCell ref="H7:H9"/>
    <mergeCell ref="H78:H79"/>
    <mergeCell ref="I7:I9"/>
    <mergeCell ref="I78:I79"/>
    <mergeCell ref="J3:J4"/>
    <mergeCell ref="J7:J9"/>
    <mergeCell ref="J78:J79"/>
    <mergeCell ref="K3:K4"/>
    <mergeCell ref="K7:K9"/>
    <mergeCell ref="K78:K79"/>
    <mergeCell ref="L7:L9"/>
    <mergeCell ref="L78:L79"/>
  </mergeCells>
  <pageMargins left="0.75" right="0.75" top="1" bottom="1" header="0.5" footer="0.5"/>
  <pageSetup paperSize="8" scale="2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83"/>
  <sheetViews>
    <sheetView tabSelected="1" zoomScale="40" zoomScaleNormal="40" topLeftCell="A52" workbookViewId="0">
      <selection activeCell="V66" sqref="V66"/>
    </sheetView>
  </sheetViews>
  <sheetFormatPr defaultColWidth="8.72727272727273" defaultRowHeight="13"/>
  <cols>
    <col min="1" max="1" width="13.8181818181818" customWidth="1"/>
    <col min="2" max="2" width="25.4545454545455" customWidth="1"/>
    <col min="3" max="3" width="36.8181818181818" hidden="1" customWidth="1"/>
    <col min="4" max="4" width="45.7272727272727" customWidth="1"/>
    <col min="5" max="5" width="33.4545454545455" customWidth="1"/>
    <col min="6" max="6" width="27.8181818181818" customWidth="1"/>
    <col min="7" max="7" width="31.4" customWidth="1"/>
    <col min="8" max="8" width="28.9181818181818" customWidth="1"/>
    <col min="9" max="11" width="32.7272727272727" customWidth="1"/>
    <col min="12" max="12" width="26.4363636363636" customWidth="1"/>
  </cols>
  <sheetData>
    <row r="1" customFormat="1" ht="76" customHeight="1" spans="1:12">
      <c r="A1" s="4" t="s">
        <v>402</v>
      </c>
      <c r="B1" s="4"/>
      <c r="C1" s="4"/>
      <c r="D1" s="4"/>
      <c r="E1" s="4"/>
      <c r="F1" s="4"/>
      <c r="G1" s="4"/>
      <c r="H1" s="4"/>
      <c r="I1" s="4"/>
      <c r="J1" s="4"/>
      <c r="K1" s="4"/>
      <c r="L1" s="4"/>
    </row>
    <row r="2" ht="160" spans="1:12">
      <c r="A2" s="5" t="s">
        <v>3</v>
      </c>
      <c r="B2" s="6" t="s">
        <v>403</v>
      </c>
      <c r="C2" s="6" t="s">
        <v>8</v>
      </c>
      <c r="D2" s="6" t="s">
        <v>404</v>
      </c>
      <c r="E2" s="6" t="s">
        <v>405</v>
      </c>
      <c r="F2" s="6" t="s">
        <v>406</v>
      </c>
      <c r="G2" s="6" t="s">
        <v>407</v>
      </c>
      <c r="H2" s="6" t="s">
        <v>408</v>
      </c>
      <c r="I2" s="6" t="s">
        <v>409</v>
      </c>
      <c r="J2" s="6" t="s">
        <v>410</v>
      </c>
      <c r="K2" s="6" t="s">
        <v>411</v>
      </c>
      <c r="L2" s="6" t="s">
        <v>412</v>
      </c>
    </row>
    <row r="3" ht="51" customHeight="1" spans="1:12">
      <c r="A3" s="7">
        <v>1</v>
      </c>
      <c r="B3" s="7" t="s">
        <v>413</v>
      </c>
      <c r="C3" s="7"/>
      <c r="D3" s="7" t="s">
        <v>414</v>
      </c>
      <c r="E3" s="8">
        <v>40603</v>
      </c>
      <c r="F3" s="9">
        <v>3.957</v>
      </c>
      <c r="G3" s="9">
        <v>0.79</v>
      </c>
      <c r="H3" s="9">
        <v>0.046</v>
      </c>
      <c r="I3" s="9">
        <v>0.45</v>
      </c>
      <c r="J3" s="9">
        <v>0.25</v>
      </c>
      <c r="K3" s="6">
        <v>5.491</v>
      </c>
      <c r="L3" s="5">
        <v>1</v>
      </c>
    </row>
    <row r="4" ht="51" customHeight="1" spans="1:12">
      <c r="A4" s="7">
        <v>2</v>
      </c>
      <c r="B4" s="7" t="s">
        <v>415</v>
      </c>
      <c r="C4" s="7" t="s">
        <v>416</v>
      </c>
      <c r="D4" s="7" t="s">
        <v>417</v>
      </c>
      <c r="E4" s="8">
        <v>41730</v>
      </c>
      <c r="F4" s="9">
        <v>1.181</v>
      </c>
      <c r="G4" s="9">
        <v>1.049</v>
      </c>
      <c r="H4" s="9">
        <v>0</v>
      </c>
      <c r="I4" s="9">
        <v>0.3</v>
      </c>
      <c r="J4" s="9">
        <v>0.17</v>
      </c>
      <c r="K4" s="6">
        <v>2.7</v>
      </c>
      <c r="L4" s="5">
        <v>4</v>
      </c>
    </row>
    <row r="5" ht="51" customHeight="1" spans="1:12">
      <c r="A5" s="7">
        <v>3</v>
      </c>
      <c r="B5" s="7" t="s">
        <v>418</v>
      </c>
      <c r="C5" s="7" t="s">
        <v>419</v>
      </c>
      <c r="D5" s="7" t="s">
        <v>417</v>
      </c>
      <c r="E5" s="8">
        <v>41640</v>
      </c>
      <c r="F5" s="9">
        <v>1.995</v>
      </c>
      <c r="G5" s="9">
        <v>0.235</v>
      </c>
      <c r="H5" s="9">
        <v>0</v>
      </c>
      <c r="I5" s="9">
        <v>0.3</v>
      </c>
      <c r="J5" s="9">
        <v>0.17</v>
      </c>
      <c r="K5" s="6">
        <v>2.7</v>
      </c>
      <c r="L5" s="5">
        <v>2</v>
      </c>
    </row>
    <row r="6" ht="51" customHeight="1" spans="1:12">
      <c r="A6" s="7">
        <v>4</v>
      </c>
      <c r="B6" s="7" t="s">
        <v>420</v>
      </c>
      <c r="C6" s="7" t="s">
        <v>421</v>
      </c>
      <c r="D6" s="7" t="s">
        <v>417</v>
      </c>
      <c r="E6" s="8">
        <v>42826</v>
      </c>
      <c r="F6" s="9">
        <v>2.23</v>
      </c>
      <c r="G6" s="9">
        <v>0</v>
      </c>
      <c r="H6" s="9">
        <v>0</v>
      </c>
      <c r="I6" s="9">
        <v>0.3</v>
      </c>
      <c r="J6" s="9">
        <v>0.17</v>
      </c>
      <c r="K6" s="6">
        <v>2.7</v>
      </c>
      <c r="L6" s="5">
        <v>6</v>
      </c>
    </row>
    <row r="7" ht="51" customHeight="1" spans="1:12">
      <c r="A7" s="7">
        <v>5</v>
      </c>
      <c r="B7" s="7" t="s">
        <v>422</v>
      </c>
      <c r="C7" s="7" t="s">
        <v>423</v>
      </c>
      <c r="D7" s="7" t="s">
        <v>424</v>
      </c>
      <c r="E7" s="8">
        <v>43313</v>
      </c>
      <c r="F7" s="9">
        <v>1.503</v>
      </c>
      <c r="G7" s="9">
        <v>0.704</v>
      </c>
      <c r="H7" s="9">
        <v>0.023</v>
      </c>
      <c r="I7" s="9">
        <v>0.3</v>
      </c>
      <c r="J7" s="9">
        <v>0.17</v>
      </c>
      <c r="K7" s="6">
        <v>2.7</v>
      </c>
      <c r="L7" s="5">
        <v>2</v>
      </c>
    </row>
    <row r="8" ht="51" customHeight="1" spans="1:12">
      <c r="A8" s="7">
        <v>6</v>
      </c>
      <c r="B8" s="7" t="s">
        <v>425</v>
      </c>
      <c r="C8" s="7" t="s">
        <v>426</v>
      </c>
      <c r="D8" s="7" t="s">
        <v>424</v>
      </c>
      <c r="E8" s="8">
        <v>41974</v>
      </c>
      <c r="F8" s="9">
        <v>1.99</v>
      </c>
      <c r="G8" s="9">
        <v>0.006</v>
      </c>
      <c r="H8" s="9">
        <v>0.234</v>
      </c>
      <c r="I8" s="9">
        <v>0.3</v>
      </c>
      <c r="J8" s="9">
        <v>0.17</v>
      </c>
      <c r="K8" s="6">
        <v>2.7</v>
      </c>
      <c r="L8" s="5">
        <v>4</v>
      </c>
    </row>
    <row r="9" ht="51" customHeight="1" spans="1:12">
      <c r="A9" s="7">
        <v>7</v>
      </c>
      <c r="B9" s="7" t="s">
        <v>427</v>
      </c>
      <c r="C9" s="7" t="s">
        <v>428</v>
      </c>
      <c r="D9" s="7" t="s">
        <v>424</v>
      </c>
      <c r="E9" s="8">
        <v>44136</v>
      </c>
      <c r="F9" s="9">
        <v>1.621</v>
      </c>
      <c r="G9" s="9">
        <v>0</v>
      </c>
      <c r="H9" s="9">
        <v>0</v>
      </c>
      <c r="I9" s="9">
        <v>0.25</v>
      </c>
      <c r="J9" s="9">
        <v>0.12</v>
      </c>
      <c r="K9" s="6">
        <v>1.991</v>
      </c>
      <c r="L9" s="5">
        <v>7</v>
      </c>
    </row>
    <row r="10" ht="51" customHeight="1" spans="1:12">
      <c r="A10" s="7">
        <v>8</v>
      </c>
      <c r="B10" s="7" t="s">
        <v>429</v>
      </c>
      <c r="C10" s="7" t="s">
        <v>416</v>
      </c>
      <c r="D10" s="7" t="s">
        <v>424</v>
      </c>
      <c r="E10" s="8">
        <v>42248</v>
      </c>
      <c r="F10" s="9">
        <v>0.591</v>
      </c>
      <c r="G10" s="9">
        <v>0.992</v>
      </c>
      <c r="H10" s="9">
        <v>0</v>
      </c>
      <c r="I10" s="9">
        <v>0.25</v>
      </c>
      <c r="J10" s="9">
        <v>0.12</v>
      </c>
      <c r="K10" s="6">
        <v>1.953</v>
      </c>
      <c r="L10" s="5">
        <v>8</v>
      </c>
    </row>
    <row r="11" ht="51" customHeight="1" spans="1:12">
      <c r="A11" s="7">
        <v>9</v>
      </c>
      <c r="B11" s="7" t="s">
        <v>430</v>
      </c>
      <c r="C11" s="7" t="s">
        <v>419</v>
      </c>
      <c r="D11" s="7" t="s">
        <v>424</v>
      </c>
      <c r="E11" s="8">
        <v>42248</v>
      </c>
      <c r="F11" s="9">
        <v>1.4</v>
      </c>
      <c r="G11" s="9">
        <v>0.125</v>
      </c>
      <c r="H11" s="9">
        <v>0</v>
      </c>
      <c r="I11" s="9">
        <v>0.25</v>
      </c>
      <c r="J11" s="9">
        <v>0.12</v>
      </c>
      <c r="K11" s="6">
        <v>1.895</v>
      </c>
      <c r="L11" s="5">
        <v>9</v>
      </c>
    </row>
    <row r="12" ht="51" customHeight="1" spans="1:12">
      <c r="A12" s="7">
        <v>10</v>
      </c>
      <c r="B12" s="7" t="s">
        <v>431</v>
      </c>
      <c r="C12" s="7" t="s">
        <v>426</v>
      </c>
      <c r="D12" s="7" t="s">
        <v>432</v>
      </c>
      <c r="E12" s="8">
        <v>43132</v>
      </c>
      <c r="F12" s="9">
        <v>1.279</v>
      </c>
      <c r="G12" s="9">
        <v>0.001</v>
      </c>
      <c r="H12" s="9">
        <v>0</v>
      </c>
      <c r="I12" s="9">
        <v>0.2</v>
      </c>
      <c r="J12" s="9">
        <v>0.1</v>
      </c>
      <c r="K12" s="6">
        <v>1.58</v>
      </c>
      <c r="L12" s="5">
        <v>10</v>
      </c>
    </row>
    <row r="13" ht="51" customHeight="1" spans="1:12">
      <c r="A13" s="7">
        <v>11</v>
      </c>
      <c r="B13" s="7" t="s">
        <v>433</v>
      </c>
      <c r="C13" s="7" t="s">
        <v>416</v>
      </c>
      <c r="D13" s="7" t="s">
        <v>432</v>
      </c>
      <c r="E13" s="8">
        <v>45047</v>
      </c>
      <c r="F13" s="9">
        <v>0.636</v>
      </c>
      <c r="G13" s="9">
        <v>0.641</v>
      </c>
      <c r="H13" s="9">
        <v>0</v>
      </c>
      <c r="I13" s="9">
        <v>0.2</v>
      </c>
      <c r="J13" s="9">
        <v>0.1</v>
      </c>
      <c r="K13" s="6">
        <v>1.577</v>
      </c>
      <c r="L13" s="5">
        <v>11</v>
      </c>
    </row>
    <row r="14" ht="51" customHeight="1" spans="1:12">
      <c r="A14" s="7">
        <v>12</v>
      </c>
      <c r="B14" s="7" t="s">
        <v>434</v>
      </c>
      <c r="C14" s="7" t="s">
        <v>419</v>
      </c>
      <c r="D14" s="7" t="s">
        <v>432</v>
      </c>
      <c r="E14" s="8">
        <v>43525</v>
      </c>
      <c r="F14" s="9">
        <v>1.109</v>
      </c>
      <c r="G14" s="9">
        <v>0.14</v>
      </c>
      <c r="H14" s="9">
        <v>0</v>
      </c>
      <c r="I14" s="9">
        <v>0.2</v>
      </c>
      <c r="J14" s="9">
        <v>0.1</v>
      </c>
      <c r="K14" s="6">
        <v>1.549</v>
      </c>
      <c r="L14" s="5">
        <v>12</v>
      </c>
    </row>
    <row r="15" ht="51" customHeight="1" spans="1:12">
      <c r="A15" s="7">
        <v>13</v>
      </c>
      <c r="B15" s="7" t="s">
        <v>435</v>
      </c>
      <c r="C15" s="7" t="s">
        <v>423</v>
      </c>
      <c r="D15" s="7" t="s">
        <v>432</v>
      </c>
      <c r="E15" s="8">
        <v>42278</v>
      </c>
      <c r="F15" s="9">
        <v>0.312</v>
      </c>
      <c r="G15" s="9">
        <v>0</v>
      </c>
      <c r="H15" s="9">
        <v>0.933</v>
      </c>
      <c r="I15" s="9">
        <v>0.2</v>
      </c>
      <c r="J15" s="9">
        <v>0.1</v>
      </c>
      <c r="K15" s="6">
        <v>1.545</v>
      </c>
      <c r="L15" s="5">
        <v>13</v>
      </c>
    </row>
    <row r="16" ht="51" customHeight="1" spans="1:12">
      <c r="A16" s="7">
        <v>14</v>
      </c>
      <c r="B16" s="7" t="s">
        <v>436</v>
      </c>
      <c r="C16" s="7" t="s">
        <v>416</v>
      </c>
      <c r="D16" s="7" t="s">
        <v>432</v>
      </c>
      <c r="E16" s="8">
        <v>44531</v>
      </c>
      <c r="F16" s="9">
        <v>0.571</v>
      </c>
      <c r="G16" s="9">
        <v>0.584</v>
      </c>
      <c r="H16" s="9">
        <v>0.07</v>
      </c>
      <c r="I16" s="9">
        <v>0.2</v>
      </c>
      <c r="J16" s="9">
        <v>0.1</v>
      </c>
      <c r="K16" s="6">
        <v>1.525</v>
      </c>
      <c r="L16" s="5">
        <v>14</v>
      </c>
    </row>
    <row r="17" ht="51" customHeight="1" spans="1:12">
      <c r="A17" s="7">
        <v>15</v>
      </c>
      <c r="B17" s="7" t="s">
        <v>437</v>
      </c>
      <c r="C17" s="7" t="s">
        <v>428</v>
      </c>
      <c r="D17" s="7" t="s">
        <v>432</v>
      </c>
      <c r="E17" s="8">
        <v>42522</v>
      </c>
      <c r="F17" s="9">
        <v>1.214</v>
      </c>
      <c r="G17" s="9">
        <v>0</v>
      </c>
      <c r="H17" s="9">
        <v>0</v>
      </c>
      <c r="I17" s="9">
        <v>0.2</v>
      </c>
      <c r="J17" s="9">
        <v>0.1</v>
      </c>
      <c r="K17" s="6">
        <v>1.514</v>
      </c>
      <c r="L17" s="5">
        <v>15</v>
      </c>
    </row>
    <row r="18" ht="51" customHeight="1" spans="1:12">
      <c r="A18" s="7">
        <v>16</v>
      </c>
      <c r="B18" s="7" t="s">
        <v>438</v>
      </c>
      <c r="C18" s="7" t="s">
        <v>423</v>
      </c>
      <c r="D18" s="7" t="s">
        <v>432</v>
      </c>
      <c r="E18" s="8">
        <v>43132</v>
      </c>
      <c r="F18" s="9">
        <v>1.153</v>
      </c>
      <c r="G18" s="9">
        <v>0.025</v>
      </c>
      <c r="H18" s="9">
        <v>0.024</v>
      </c>
      <c r="I18" s="9">
        <v>0.2</v>
      </c>
      <c r="J18" s="9">
        <v>0.1</v>
      </c>
      <c r="K18" s="6">
        <v>1.502</v>
      </c>
      <c r="L18" s="5">
        <v>16</v>
      </c>
    </row>
    <row r="19" ht="51" customHeight="1" spans="1:12">
      <c r="A19" s="7">
        <v>17</v>
      </c>
      <c r="B19" s="7" t="s">
        <v>439</v>
      </c>
      <c r="C19" s="7" t="s">
        <v>426</v>
      </c>
      <c r="D19" s="7" t="s">
        <v>432</v>
      </c>
      <c r="E19" s="8">
        <v>44562</v>
      </c>
      <c r="F19" s="9">
        <v>1.194</v>
      </c>
      <c r="G19" s="9">
        <v>0</v>
      </c>
      <c r="H19" s="9">
        <v>0</v>
      </c>
      <c r="I19" s="9">
        <v>0.2</v>
      </c>
      <c r="J19" s="9">
        <v>0.1</v>
      </c>
      <c r="K19" s="6">
        <v>1.494</v>
      </c>
      <c r="L19" s="5">
        <v>17</v>
      </c>
    </row>
    <row r="20" ht="51" customHeight="1" spans="1:12">
      <c r="A20" s="7">
        <v>18</v>
      </c>
      <c r="B20" s="7" t="s">
        <v>440</v>
      </c>
      <c r="C20" s="7" t="s">
        <v>423</v>
      </c>
      <c r="D20" s="7" t="s">
        <v>432</v>
      </c>
      <c r="E20" s="8">
        <v>44621</v>
      </c>
      <c r="F20" s="9">
        <v>0.926</v>
      </c>
      <c r="G20" s="9">
        <v>0.24</v>
      </c>
      <c r="H20" s="9">
        <v>0.024</v>
      </c>
      <c r="I20" s="9">
        <v>0.2</v>
      </c>
      <c r="J20" s="9">
        <v>0.1</v>
      </c>
      <c r="K20" s="6">
        <v>1.49</v>
      </c>
      <c r="L20" s="5">
        <v>18</v>
      </c>
    </row>
    <row r="21" ht="51" customHeight="1" spans="1:12">
      <c r="A21" s="7">
        <v>19</v>
      </c>
      <c r="B21" s="7" t="s">
        <v>441</v>
      </c>
      <c r="C21" s="7" t="s">
        <v>419</v>
      </c>
      <c r="D21" s="7" t="s">
        <v>432</v>
      </c>
      <c r="E21" s="8">
        <v>43525</v>
      </c>
      <c r="F21" s="9">
        <v>0.887</v>
      </c>
      <c r="G21" s="9">
        <v>0.279</v>
      </c>
      <c r="H21" s="9">
        <v>0</v>
      </c>
      <c r="I21" s="9">
        <v>0.2</v>
      </c>
      <c r="J21" s="9">
        <v>0.1</v>
      </c>
      <c r="K21" s="6">
        <v>1.466</v>
      </c>
      <c r="L21" s="5">
        <v>19</v>
      </c>
    </row>
    <row r="22" ht="51" customHeight="1" spans="1:12">
      <c r="A22" s="7">
        <v>20</v>
      </c>
      <c r="B22" s="7" t="s">
        <v>442</v>
      </c>
      <c r="C22" s="7" t="s">
        <v>419</v>
      </c>
      <c r="D22" s="7" t="s">
        <v>443</v>
      </c>
      <c r="E22" s="8">
        <v>42917</v>
      </c>
      <c r="F22" s="9">
        <v>1.038</v>
      </c>
      <c r="G22" s="9">
        <v>0</v>
      </c>
      <c r="H22" s="9">
        <v>0</v>
      </c>
      <c r="I22" s="9">
        <v>0.15</v>
      </c>
      <c r="J22" s="9">
        <v>0.07</v>
      </c>
      <c r="K22" s="6">
        <v>1.258</v>
      </c>
      <c r="L22" s="5">
        <v>20</v>
      </c>
    </row>
    <row r="23" ht="51" customHeight="1" spans="1:12">
      <c r="A23" s="7">
        <v>21</v>
      </c>
      <c r="B23" s="7" t="s">
        <v>444</v>
      </c>
      <c r="C23" s="7" t="s">
        <v>416</v>
      </c>
      <c r="D23" s="7" t="s">
        <v>443</v>
      </c>
      <c r="E23" s="8">
        <v>43739</v>
      </c>
      <c r="F23" s="9">
        <v>0.492</v>
      </c>
      <c r="G23" s="9">
        <v>0.513</v>
      </c>
      <c r="H23" s="9">
        <v>0.012</v>
      </c>
      <c r="I23" s="9">
        <v>0.15</v>
      </c>
      <c r="J23" s="9">
        <v>0.07</v>
      </c>
      <c r="K23" s="6">
        <v>1.237</v>
      </c>
      <c r="L23" s="5">
        <v>21</v>
      </c>
    </row>
    <row r="24" ht="51" customHeight="1" spans="1:12">
      <c r="A24" s="7">
        <v>22</v>
      </c>
      <c r="B24" s="7" t="s">
        <v>445</v>
      </c>
      <c r="C24" s="7" t="s">
        <v>426</v>
      </c>
      <c r="D24" s="7" t="s">
        <v>443</v>
      </c>
      <c r="E24" s="8">
        <v>43647</v>
      </c>
      <c r="F24" s="9">
        <v>0.977</v>
      </c>
      <c r="G24" s="9">
        <v>0.035</v>
      </c>
      <c r="H24" s="9">
        <v>0</v>
      </c>
      <c r="I24" s="9">
        <v>0.15</v>
      </c>
      <c r="J24" s="9">
        <v>0.07</v>
      </c>
      <c r="K24" s="6">
        <v>1.232</v>
      </c>
      <c r="L24" s="5">
        <v>22</v>
      </c>
    </row>
    <row r="25" ht="51" customHeight="1" spans="1:12">
      <c r="A25" s="7">
        <v>23</v>
      </c>
      <c r="B25" s="7" t="s">
        <v>446</v>
      </c>
      <c r="C25" s="7" t="s">
        <v>423</v>
      </c>
      <c r="D25" s="7" t="s">
        <v>443</v>
      </c>
      <c r="E25" s="8">
        <v>43497</v>
      </c>
      <c r="F25" s="9">
        <v>0.425</v>
      </c>
      <c r="G25" s="9">
        <v>0.583</v>
      </c>
      <c r="H25" s="9">
        <v>0</v>
      </c>
      <c r="I25" s="9">
        <v>0.15</v>
      </c>
      <c r="J25" s="9">
        <v>0.07</v>
      </c>
      <c r="K25" s="6">
        <v>1.228</v>
      </c>
      <c r="L25" s="5">
        <v>23</v>
      </c>
    </row>
    <row r="26" ht="51" customHeight="1" spans="1:12">
      <c r="A26" s="7">
        <v>24</v>
      </c>
      <c r="B26" s="7" t="s">
        <v>447</v>
      </c>
      <c r="C26" s="7" t="s">
        <v>419</v>
      </c>
      <c r="D26" s="7" t="s">
        <v>443</v>
      </c>
      <c r="E26" s="8">
        <v>42552</v>
      </c>
      <c r="F26" s="9">
        <v>0.969</v>
      </c>
      <c r="G26" s="9">
        <v>0.035</v>
      </c>
      <c r="H26" s="9">
        <v>0</v>
      </c>
      <c r="I26" s="9">
        <v>0.15</v>
      </c>
      <c r="J26" s="9">
        <v>0.07</v>
      </c>
      <c r="K26" s="6">
        <v>1.226</v>
      </c>
      <c r="L26" s="5">
        <v>24</v>
      </c>
    </row>
    <row r="27" ht="51" customHeight="1" spans="1:12">
      <c r="A27" s="7">
        <v>25</v>
      </c>
      <c r="B27" s="7" t="s">
        <v>448</v>
      </c>
      <c r="C27" s="7" t="s">
        <v>423</v>
      </c>
      <c r="D27" s="7" t="s">
        <v>443</v>
      </c>
      <c r="E27" s="8">
        <v>44013</v>
      </c>
      <c r="F27" s="9">
        <v>0.123</v>
      </c>
      <c r="G27" s="9">
        <v>0.871</v>
      </c>
      <c r="H27" s="9">
        <v>0.012</v>
      </c>
      <c r="I27" s="9">
        <v>0.15</v>
      </c>
      <c r="J27" s="9">
        <v>0.07</v>
      </c>
      <c r="K27" s="6">
        <v>1.224</v>
      </c>
      <c r="L27" s="5">
        <v>25</v>
      </c>
    </row>
    <row r="28" ht="51" customHeight="1" spans="1:12">
      <c r="A28" s="7">
        <v>26</v>
      </c>
      <c r="B28" s="7" t="s">
        <v>449</v>
      </c>
      <c r="C28" s="7" t="s">
        <v>423</v>
      </c>
      <c r="D28" s="7" t="s">
        <v>443</v>
      </c>
      <c r="E28" s="8">
        <v>44013</v>
      </c>
      <c r="F28" s="9">
        <v>0.257</v>
      </c>
      <c r="G28" s="9">
        <v>0</v>
      </c>
      <c r="H28" s="9">
        <v>0.747</v>
      </c>
      <c r="I28" s="9">
        <v>0.15</v>
      </c>
      <c r="J28" s="9">
        <v>0.07</v>
      </c>
      <c r="K28" s="6">
        <v>1.224</v>
      </c>
      <c r="L28" s="5">
        <v>25</v>
      </c>
    </row>
    <row r="29" ht="51" customHeight="1" spans="1:12">
      <c r="A29" s="7">
        <v>27</v>
      </c>
      <c r="B29" s="7" t="s">
        <v>450</v>
      </c>
      <c r="C29" s="7" t="s">
        <v>426</v>
      </c>
      <c r="D29" s="7" t="s">
        <v>443</v>
      </c>
      <c r="E29" s="8">
        <v>44044</v>
      </c>
      <c r="F29" s="9">
        <v>0.992</v>
      </c>
      <c r="G29" s="9">
        <v>0</v>
      </c>
      <c r="H29" s="9">
        <v>0</v>
      </c>
      <c r="I29" s="9">
        <v>0.15</v>
      </c>
      <c r="J29" s="9">
        <v>0.07</v>
      </c>
      <c r="K29" s="6">
        <v>1.212</v>
      </c>
      <c r="L29" s="5">
        <v>27</v>
      </c>
    </row>
    <row r="30" ht="51" customHeight="1" spans="1:12">
      <c r="A30" s="7">
        <v>28</v>
      </c>
      <c r="B30" s="7" t="s">
        <v>451</v>
      </c>
      <c r="C30" s="7" t="s">
        <v>416</v>
      </c>
      <c r="D30" s="7" t="s">
        <v>443</v>
      </c>
      <c r="E30" s="8">
        <v>44013</v>
      </c>
      <c r="F30" s="9">
        <v>0.637</v>
      </c>
      <c r="G30" s="9">
        <v>0.351</v>
      </c>
      <c r="H30" s="9">
        <v>0</v>
      </c>
      <c r="I30" s="9">
        <v>0.15</v>
      </c>
      <c r="J30" s="9">
        <v>0.07</v>
      </c>
      <c r="K30" s="6">
        <v>1.208</v>
      </c>
      <c r="L30" s="5">
        <v>28</v>
      </c>
    </row>
    <row r="31" ht="51" customHeight="1" spans="1:12">
      <c r="A31" s="7">
        <v>29</v>
      </c>
      <c r="B31" s="7" t="s">
        <v>452</v>
      </c>
      <c r="C31" s="7" t="s">
        <v>421</v>
      </c>
      <c r="D31" s="7" t="s">
        <v>443</v>
      </c>
      <c r="E31" s="8">
        <v>44166</v>
      </c>
      <c r="F31" s="9">
        <v>0.986</v>
      </c>
      <c r="G31" s="9">
        <v>0</v>
      </c>
      <c r="H31" s="9">
        <v>0</v>
      </c>
      <c r="I31" s="9">
        <v>0.15</v>
      </c>
      <c r="J31" s="9">
        <v>0.07</v>
      </c>
      <c r="K31" s="6">
        <v>1.206</v>
      </c>
      <c r="L31" s="5">
        <v>29</v>
      </c>
    </row>
    <row r="32" ht="51" customHeight="1" spans="1:12">
      <c r="A32" s="7">
        <v>30</v>
      </c>
      <c r="B32" s="7" t="s">
        <v>453</v>
      </c>
      <c r="C32" s="7" t="s">
        <v>428</v>
      </c>
      <c r="D32" s="7" t="s">
        <v>443</v>
      </c>
      <c r="E32" s="8">
        <v>44044</v>
      </c>
      <c r="F32" s="9">
        <v>0.982</v>
      </c>
      <c r="G32" s="9">
        <v>0</v>
      </c>
      <c r="H32" s="9">
        <v>0</v>
      </c>
      <c r="I32" s="9">
        <v>0.15</v>
      </c>
      <c r="J32" s="9">
        <v>0.07</v>
      </c>
      <c r="K32" s="6">
        <v>1.202</v>
      </c>
      <c r="L32" s="5">
        <v>30</v>
      </c>
    </row>
    <row r="33" ht="51" customHeight="1" spans="1:12">
      <c r="A33" s="7">
        <v>31</v>
      </c>
      <c r="B33" s="7" t="s">
        <v>454</v>
      </c>
      <c r="C33" s="7" t="s">
        <v>421</v>
      </c>
      <c r="D33" s="7" t="s">
        <v>443</v>
      </c>
      <c r="E33" s="8">
        <v>44136</v>
      </c>
      <c r="F33" s="9">
        <v>0.968</v>
      </c>
      <c r="G33" s="9">
        <v>0</v>
      </c>
      <c r="H33" s="9">
        <v>0</v>
      </c>
      <c r="I33" s="9">
        <v>0.15</v>
      </c>
      <c r="J33" s="9">
        <v>0.07</v>
      </c>
      <c r="K33" s="11">
        <v>1.19</v>
      </c>
      <c r="L33" s="5">
        <v>31</v>
      </c>
    </row>
    <row r="34" ht="51" customHeight="1" spans="1:12">
      <c r="A34" s="7">
        <v>32</v>
      </c>
      <c r="B34" s="7" t="s">
        <v>455</v>
      </c>
      <c r="C34" s="7" t="s">
        <v>419</v>
      </c>
      <c r="D34" s="7" t="s">
        <v>443</v>
      </c>
      <c r="E34" s="8">
        <v>44013</v>
      </c>
      <c r="F34" s="9">
        <v>0.829</v>
      </c>
      <c r="G34" s="9">
        <v>0.14</v>
      </c>
      <c r="H34" s="9">
        <v>0</v>
      </c>
      <c r="I34" s="9">
        <v>0.15</v>
      </c>
      <c r="J34" s="9">
        <v>0.07</v>
      </c>
      <c r="K34" s="6">
        <v>1.189</v>
      </c>
      <c r="L34" s="5">
        <v>32</v>
      </c>
    </row>
    <row r="35" ht="51" customHeight="1" spans="1:12">
      <c r="A35" s="7">
        <v>33</v>
      </c>
      <c r="B35" s="7" t="s">
        <v>456</v>
      </c>
      <c r="C35" s="7" t="s">
        <v>426</v>
      </c>
      <c r="D35" s="7" t="s">
        <v>443</v>
      </c>
      <c r="E35" s="8">
        <v>44075</v>
      </c>
      <c r="F35" s="9">
        <v>0.953</v>
      </c>
      <c r="G35" s="9">
        <v>0.012</v>
      </c>
      <c r="H35" s="9">
        <v>0</v>
      </c>
      <c r="I35" s="9">
        <v>0.15</v>
      </c>
      <c r="J35" s="9">
        <v>0.07</v>
      </c>
      <c r="K35" s="6">
        <v>1.185</v>
      </c>
      <c r="L35" s="5">
        <v>33</v>
      </c>
    </row>
    <row r="36" ht="51" customHeight="1" spans="1:12">
      <c r="A36" s="7">
        <v>34</v>
      </c>
      <c r="B36" s="7" t="s">
        <v>457</v>
      </c>
      <c r="C36" s="7" t="s">
        <v>421</v>
      </c>
      <c r="D36" s="7" t="s">
        <v>443</v>
      </c>
      <c r="E36" s="8">
        <v>44136</v>
      </c>
      <c r="F36" s="9">
        <v>0.948</v>
      </c>
      <c r="G36" s="9">
        <v>0</v>
      </c>
      <c r="H36" s="9">
        <v>0</v>
      </c>
      <c r="I36" s="9">
        <v>0.15</v>
      </c>
      <c r="J36" s="9">
        <v>0.07</v>
      </c>
      <c r="K36" s="6">
        <v>1.168</v>
      </c>
      <c r="L36" s="5">
        <v>34</v>
      </c>
    </row>
    <row r="37" ht="51" customHeight="1" spans="1:12">
      <c r="A37" s="7">
        <v>35</v>
      </c>
      <c r="B37" s="7" t="s">
        <v>458</v>
      </c>
      <c r="C37" s="7" t="s">
        <v>428</v>
      </c>
      <c r="D37" s="7" t="s">
        <v>443</v>
      </c>
      <c r="E37" s="8">
        <v>44044</v>
      </c>
      <c r="F37" s="9">
        <v>0.933</v>
      </c>
      <c r="G37" s="9">
        <v>0</v>
      </c>
      <c r="H37" s="9">
        <v>0</v>
      </c>
      <c r="I37" s="9">
        <v>0.15</v>
      </c>
      <c r="J37" s="9">
        <v>0.07</v>
      </c>
      <c r="K37" s="6">
        <v>1.153</v>
      </c>
      <c r="L37" s="5">
        <v>35</v>
      </c>
    </row>
    <row r="38" ht="51" customHeight="1" spans="1:12">
      <c r="A38" s="7">
        <v>36</v>
      </c>
      <c r="B38" s="7" t="s">
        <v>459</v>
      </c>
      <c r="C38" s="7" t="s">
        <v>419</v>
      </c>
      <c r="D38" s="7" t="s">
        <v>443</v>
      </c>
      <c r="E38" s="8">
        <v>44105</v>
      </c>
      <c r="F38" s="9">
        <v>0.885</v>
      </c>
      <c r="G38" s="9">
        <v>0.035</v>
      </c>
      <c r="H38" s="9">
        <v>0</v>
      </c>
      <c r="I38" s="9">
        <v>0.15</v>
      </c>
      <c r="J38" s="9">
        <v>0.07</v>
      </c>
      <c r="K38" s="6">
        <v>1.14</v>
      </c>
      <c r="L38" s="5">
        <v>36</v>
      </c>
    </row>
    <row r="39" ht="51" customHeight="1" spans="1:12">
      <c r="A39" s="7">
        <v>37</v>
      </c>
      <c r="B39" s="7" t="s">
        <v>460</v>
      </c>
      <c r="C39" s="7" t="s">
        <v>426</v>
      </c>
      <c r="D39" s="7" t="s">
        <v>443</v>
      </c>
      <c r="E39" s="8">
        <v>44440</v>
      </c>
      <c r="F39" s="9">
        <v>0.327</v>
      </c>
      <c r="G39" s="9">
        <v>0</v>
      </c>
      <c r="H39" s="9">
        <v>0.593</v>
      </c>
      <c r="I39" s="9">
        <v>0.15</v>
      </c>
      <c r="J39" s="9">
        <v>0.07</v>
      </c>
      <c r="K39" s="6">
        <v>1.14</v>
      </c>
      <c r="L39" s="5">
        <v>37</v>
      </c>
    </row>
    <row r="40" ht="51" customHeight="1" spans="1:12">
      <c r="A40" s="7">
        <v>38</v>
      </c>
      <c r="B40" s="7" t="s">
        <v>461</v>
      </c>
      <c r="C40" s="7" t="s">
        <v>416</v>
      </c>
      <c r="D40" s="7" t="s">
        <v>443</v>
      </c>
      <c r="E40" s="8">
        <v>44228</v>
      </c>
      <c r="F40" s="9">
        <v>0.103</v>
      </c>
      <c r="G40" s="9">
        <v>0.817</v>
      </c>
      <c r="H40" s="9">
        <v>0</v>
      </c>
      <c r="I40" s="9">
        <v>0.15</v>
      </c>
      <c r="J40" s="9">
        <v>0.07</v>
      </c>
      <c r="K40" s="6">
        <v>1.14</v>
      </c>
      <c r="L40" s="5">
        <v>37</v>
      </c>
    </row>
    <row r="41" ht="51" customHeight="1" spans="1:12">
      <c r="A41" s="7">
        <v>39</v>
      </c>
      <c r="B41" s="7" t="s">
        <v>462</v>
      </c>
      <c r="C41" s="7" t="s">
        <v>416</v>
      </c>
      <c r="D41" s="7" t="s">
        <v>443</v>
      </c>
      <c r="E41" s="8">
        <v>44228</v>
      </c>
      <c r="F41" s="9">
        <v>0.103</v>
      </c>
      <c r="G41" s="9">
        <v>0.817</v>
      </c>
      <c r="H41" s="9">
        <v>0</v>
      </c>
      <c r="I41" s="9">
        <v>0.15</v>
      </c>
      <c r="J41" s="9">
        <v>0.07</v>
      </c>
      <c r="K41" s="6">
        <v>1.14</v>
      </c>
      <c r="L41" s="5">
        <v>37</v>
      </c>
    </row>
    <row r="42" ht="51" customHeight="1" spans="1:12">
      <c r="A42" s="7">
        <v>40</v>
      </c>
      <c r="B42" s="7" t="s">
        <v>463</v>
      </c>
      <c r="C42" s="7" t="s">
        <v>428</v>
      </c>
      <c r="D42" s="7" t="s">
        <v>443</v>
      </c>
      <c r="E42" s="8">
        <v>44136</v>
      </c>
      <c r="F42" s="9">
        <v>0.91</v>
      </c>
      <c r="G42" s="9">
        <v>0</v>
      </c>
      <c r="H42" s="9">
        <v>0</v>
      </c>
      <c r="I42" s="9">
        <v>0.15</v>
      </c>
      <c r="J42" s="9">
        <v>0.07</v>
      </c>
      <c r="K42" s="6">
        <v>1.13</v>
      </c>
      <c r="L42" s="5">
        <v>40</v>
      </c>
    </row>
    <row r="43" ht="51" customHeight="1" spans="1:12">
      <c r="A43" s="7">
        <v>41</v>
      </c>
      <c r="B43" s="7" t="s">
        <v>464</v>
      </c>
      <c r="C43" s="7" t="s">
        <v>419</v>
      </c>
      <c r="D43" s="7" t="s">
        <v>443</v>
      </c>
      <c r="E43" s="8">
        <v>44075</v>
      </c>
      <c r="F43" s="9">
        <v>0.656</v>
      </c>
      <c r="G43" s="9">
        <v>0.233</v>
      </c>
      <c r="H43" s="9">
        <v>0</v>
      </c>
      <c r="I43" s="9">
        <v>0.15</v>
      </c>
      <c r="J43" s="9">
        <v>0.07</v>
      </c>
      <c r="K43" s="6">
        <v>1.109</v>
      </c>
      <c r="L43" s="5">
        <v>41</v>
      </c>
    </row>
    <row r="44" ht="51" customHeight="1" spans="1:12">
      <c r="A44" s="7">
        <v>42</v>
      </c>
      <c r="B44" s="7" t="s">
        <v>465</v>
      </c>
      <c r="C44" s="7" t="s">
        <v>423</v>
      </c>
      <c r="D44" s="7" t="s">
        <v>443</v>
      </c>
      <c r="E44" s="8">
        <v>43770</v>
      </c>
      <c r="F44" s="9">
        <v>0.852</v>
      </c>
      <c r="G44" s="9">
        <v>0.012</v>
      </c>
      <c r="H44" s="9">
        <v>0.024</v>
      </c>
      <c r="I44" s="9">
        <v>0.15</v>
      </c>
      <c r="J44" s="9">
        <v>0.07</v>
      </c>
      <c r="K44" s="6">
        <v>1.108</v>
      </c>
      <c r="L44" s="5">
        <v>42</v>
      </c>
    </row>
    <row r="45" ht="51" customHeight="1" spans="1:12">
      <c r="A45" s="7">
        <v>43</v>
      </c>
      <c r="B45" s="7" t="s">
        <v>466</v>
      </c>
      <c r="C45" s="7" t="s">
        <v>419</v>
      </c>
      <c r="D45" s="7" t="s">
        <v>443</v>
      </c>
      <c r="E45" s="8">
        <v>44136</v>
      </c>
      <c r="F45" s="9">
        <v>0.876</v>
      </c>
      <c r="G45" s="9">
        <v>0.012</v>
      </c>
      <c r="H45" s="9">
        <v>0</v>
      </c>
      <c r="I45" s="9">
        <v>0.15</v>
      </c>
      <c r="J45" s="9">
        <v>0.07</v>
      </c>
      <c r="K45" s="6">
        <v>1.108</v>
      </c>
      <c r="L45" s="5">
        <v>42</v>
      </c>
    </row>
    <row r="46" ht="51" customHeight="1" spans="1:12">
      <c r="A46" s="7">
        <v>44</v>
      </c>
      <c r="B46" s="7" t="s">
        <v>467</v>
      </c>
      <c r="C46" s="7" t="s">
        <v>426</v>
      </c>
      <c r="D46" s="7" t="s">
        <v>443</v>
      </c>
      <c r="E46" s="8">
        <v>44136</v>
      </c>
      <c r="F46" s="9">
        <v>0.886</v>
      </c>
      <c r="G46" s="9">
        <v>0</v>
      </c>
      <c r="H46" s="9">
        <v>0</v>
      </c>
      <c r="I46" s="9">
        <v>0.15</v>
      </c>
      <c r="J46" s="9">
        <v>0.07</v>
      </c>
      <c r="K46" s="6">
        <v>1.106</v>
      </c>
      <c r="L46" s="5">
        <v>44</v>
      </c>
    </row>
    <row r="47" ht="51" customHeight="1" spans="1:12">
      <c r="A47" s="7">
        <v>45</v>
      </c>
      <c r="B47" s="7" t="s">
        <v>468</v>
      </c>
      <c r="C47" s="7" t="s">
        <v>426</v>
      </c>
      <c r="D47" s="7" t="s">
        <v>469</v>
      </c>
      <c r="E47" s="8">
        <v>44044</v>
      </c>
      <c r="F47" s="9">
        <v>0.921</v>
      </c>
      <c r="G47" s="9">
        <v>0.012</v>
      </c>
      <c r="H47" s="9">
        <v>0</v>
      </c>
      <c r="I47" s="9">
        <v>0.1</v>
      </c>
      <c r="J47" s="9">
        <v>0.05</v>
      </c>
      <c r="K47" s="6">
        <v>1.083</v>
      </c>
      <c r="L47" s="5">
        <v>45</v>
      </c>
    </row>
    <row r="48" ht="51" customHeight="1" spans="1:12">
      <c r="A48" s="7">
        <v>46</v>
      </c>
      <c r="B48" s="7" t="s">
        <v>470</v>
      </c>
      <c r="C48" s="7" t="s">
        <v>428</v>
      </c>
      <c r="D48" s="7" t="s">
        <v>469</v>
      </c>
      <c r="E48" s="8">
        <v>44105</v>
      </c>
      <c r="F48" s="9">
        <v>0.931</v>
      </c>
      <c r="G48" s="9">
        <v>0</v>
      </c>
      <c r="H48" s="9">
        <v>0</v>
      </c>
      <c r="I48" s="9">
        <v>0.1</v>
      </c>
      <c r="J48" s="9">
        <v>0.05</v>
      </c>
      <c r="K48" s="6">
        <v>1.081</v>
      </c>
      <c r="L48" s="5">
        <v>46</v>
      </c>
    </row>
    <row r="49" ht="51" customHeight="1" spans="1:12">
      <c r="A49" s="7">
        <v>47</v>
      </c>
      <c r="B49" s="7" t="s">
        <v>471</v>
      </c>
      <c r="C49" s="7" t="s">
        <v>426</v>
      </c>
      <c r="D49" s="7" t="s">
        <v>469</v>
      </c>
      <c r="E49" s="8">
        <v>44075</v>
      </c>
      <c r="F49" s="9">
        <v>0.671</v>
      </c>
      <c r="G49" s="9">
        <v>0</v>
      </c>
      <c r="H49" s="9">
        <v>0.234</v>
      </c>
      <c r="I49" s="9">
        <v>0.1</v>
      </c>
      <c r="J49" s="9">
        <v>0.05</v>
      </c>
      <c r="K49" s="6">
        <v>1.055</v>
      </c>
      <c r="L49" s="5">
        <v>47</v>
      </c>
    </row>
    <row r="50" ht="51" customHeight="1" spans="1:12">
      <c r="A50" s="7">
        <v>48</v>
      </c>
      <c r="B50" s="7" t="s">
        <v>472</v>
      </c>
      <c r="C50" s="7" t="s">
        <v>419</v>
      </c>
      <c r="D50" s="7" t="s">
        <v>469</v>
      </c>
      <c r="E50" s="8">
        <v>44743</v>
      </c>
      <c r="F50" s="9">
        <v>0.895</v>
      </c>
      <c r="G50" s="9">
        <v>0</v>
      </c>
      <c r="H50" s="9">
        <v>0</v>
      </c>
      <c r="I50" s="9">
        <v>0.1</v>
      </c>
      <c r="J50" s="9">
        <v>0.05</v>
      </c>
      <c r="K50" s="6">
        <v>1.045</v>
      </c>
      <c r="L50" s="5">
        <v>48</v>
      </c>
    </row>
    <row r="51" ht="51" customHeight="1" spans="1:12">
      <c r="A51" s="7">
        <v>49</v>
      </c>
      <c r="B51" s="7" t="s">
        <v>473</v>
      </c>
      <c r="C51" s="7" t="s">
        <v>421</v>
      </c>
      <c r="D51" s="7" t="s">
        <v>469</v>
      </c>
      <c r="E51" s="8">
        <v>44075</v>
      </c>
      <c r="F51" s="9">
        <v>0.88</v>
      </c>
      <c r="G51" s="9">
        <v>0</v>
      </c>
      <c r="H51" s="9">
        <v>0</v>
      </c>
      <c r="I51" s="9">
        <v>0.1</v>
      </c>
      <c r="J51" s="9">
        <v>0.05</v>
      </c>
      <c r="K51" s="6">
        <v>1.03</v>
      </c>
      <c r="L51" s="5">
        <v>49</v>
      </c>
    </row>
    <row r="52" ht="51" customHeight="1" spans="1:12">
      <c r="A52" s="7">
        <v>50</v>
      </c>
      <c r="B52" s="7" t="s">
        <v>474</v>
      </c>
      <c r="C52" s="7" t="s">
        <v>426</v>
      </c>
      <c r="D52" s="7" t="s">
        <v>469</v>
      </c>
      <c r="E52" s="8">
        <v>44044</v>
      </c>
      <c r="F52" s="9">
        <v>0.869</v>
      </c>
      <c r="G52" s="9">
        <v>0</v>
      </c>
      <c r="H52" s="9">
        <v>0</v>
      </c>
      <c r="I52" s="9">
        <v>0.1</v>
      </c>
      <c r="J52" s="9">
        <v>0.05</v>
      </c>
      <c r="K52" s="6">
        <v>1.019</v>
      </c>
      <c r="L52" s="5">
        <v>50</v>
      </c>
    </row>
    <row r="53" ht="51" customHeight="1" spans="1:12">
      <c r="A53" s="7">
        <v>51</v>
      </c>
      <c r="B53" s="7" t="s">
        <v>475</v>
      </c>
      <c r="C53" s="7" t="s">
        <v>419</v>
      </c>
      <c r="D53" s="7" t="s">
        <v>469</v>
      </c>
      <c r="E53" s="8">
        <v>44743</v>
      </c>
      <c r="F53" s="9">
        <v>0.867</v>
      </c>
      <c r="G53" s="9">
        <v>0</v>
      </c>
      <c r="H53" s="9">
        <v>0</v>
      </c>
      <c r="I53" s="9">
        <v>0.1</v>
      </c>
      <c r="J53" s="9">
        <v>0.05</v>
      </c>
      <c r="K53" s="6">
        <v>1.017</v>
      </c>
      <c r="L53" s="5">
        <v>51</v>
      </c>
    </row>
    <row r="54" ht="51" customHeight="1" spans="1:12">
      <c r="A54" s="7">
        <v>52</v>
      </c>
      <c r="B54" s="7" t="s">
        <v>476</v>
      </c>
      <c r="C54" s="7" t="s">
        <v>421</v>
      </c>
      <c r="D54" s="7" t="s">
        <v>469</v>
      </c>
      <c r="E54" s="8">
        <v>44105</v>
      </c>
      <c r="F54" s="9">
        <v>0.865</v>
      </c>
      <c r="G54" s="9">
        <v>0</v>
      </c>
      <c r="H54" s="9">
        <v>0</v>
      </c>
      <c r="I54" s="9">
        <v>0.1</v>
      </c>
      <c r="J54" s="9">
        <v>0.05</v>
      </c>
      <c r="K54" s="6">
        <v>1.015</v>
      </c>
      <c r="L54" s="5">
        <v>52</v>
      </c>
    </row>
    <row r="55" ht="51" customHeight="1" spans="1:12">
      <c r="A55" s="7">
        <v>53</v>
      </c>
      <c r="B55" s="7" t="s">
        <v>477</v>
      </c>
      <c r="C55" s="7" t="s">
        <v>419</v>
      </c>
      <c r="D55" s="7" t="s">
        <v>469</v>
      </c>
      <c r="E55" s="8">
        <v>44075</v>
      </c>
      <c r="F55" s="9">
        <v>0.705</v>
      </c>
      <c r="G55" s="9">
        <v>0.154</v>
      </c>
      <c r="H55" s="9">
        <v>0</v>
      </c>
      <c r="I55" s="9">
        <v>0.1</v>
      </c>
      <c r="J55" s="9">
        <v>0.05</v>
      </c>
      <c r="K55" s="6">
        <v>1.009</v>
      </c>
      <c r="L55" s="5">
        <v>53</v>
      </c>
    </row>
    <row r="56" ht="51" customHeight="1" spans="1:12">
      <c r="A56" s="7">
        <v>54</v>
      </c>
      <c r="B56" s="7" t="s">
        <v>478</v>
      </c>
      <c r="C56" s="7" t="s">
        <v>426</v>
      </c>
      <c r="D56" s="7" t="s">
        <v>469</v>
      </c>
      <c r="E56" s="8">
        <v>44743</v>
      </c>
      <c r="F56" s="9">
        <v>0.553</v>
      </c>
      <c r="G56" s="9">
        <v>0.07</v>
      </c>
      <c r="H56" s="9">
        <v>0.234</v>
      </c>
      <c r="I56" s="9">
        <v>0.1</v>
      </c>
      <c r="J56" s="9">
        <v>0.05</v>
      </c>
      <c r="K56" s="6">
        <v>1.007</v>
      </c>
      <c r="L56" s="5">
        <v>54</v>
      </c>
    </row>
    <row r="57" ht="51" customHeight="1" spans="1:12">
      <c r="A57" s="7">
        <v>55</v>
      </c>
      <c r="B57" s="7" t="s">
        <v>479</v>
      </c>
      <c r="C57" s="7" t="s">
        <v>426</v>
      </c>
      <c r="D57" s="7" t="s">
        <v>469</v>
      </c>
      <c r="E57" s="8">
        <v>44621</v>
      </c>
      <c r="F57" s="9">
        <v>0.856</v>
      </c>
      <c r="G57" s="9">
        <v>0</v>
      </c>
      <c r="H57" s="9">
        <v>0</v>
      </c>
      <c r="I57" s="9">
        <v>0.1</v>
      </c>
      <c r="J57" s="9">
        <v>0.05</v>
      </c>
      <c r="K57" s="6">
        <v>1.006</v>
      </c>
      <c r="L57" s="5">
        <v>55</v>
      </c>
    </row>
    <row r="58" ht="51" customHeight="1" spans="1:12">
      <c r="A58" s="7">
        <v>56</v>
      </c>
      <c r="B58" s="7" t="s">
        <v>480</v>
      </c>
      <c r="C58" s="7" t="s">
        <v>419</v>
      </c>
      <c r="D58" s="7" t="s">
        <v>469</v>
      </c>
      <c r="E58" s="8">
        <v>44075</v>
      </c>
      <c r="F58" s="9">
        <v>0.701</v>
      </c>
      <c r="G58" s="9">
        <v>0.154</v>
      </c>
      <c r="H58" s="9">
        <v>0</v>
      </c>
      <c r="I58" s="9">
        <v>0.1</v>
      </c>
      <c r="J58" s="9">
        <v>0.05</v>
      </c>
      <c r="K58" s="6">
        <v>1.005</v>
      </c>
      <c r="L58" s="5">
        <v>56</v>
      </c>
    </row>
    <row r="59" ht="51" customHeight="1" spans="1:12">
      <c r="A59" s="7">
        <v>57</v>
      </c>
      <c r="B59" s="7" t="s">
        <v>481</v>
      </c>
      <c r="C59" s="7" t="s">
        <v>426</v>
      </c>
      <c r="D59" s="7" t="s">
        <v>469</v>
      </c>
      <c r="E59" s="8">
        <v>44075</v>
      </c>
      <c r="F59" s="9">
        <v>0.852</v>
      </c>
      <c r="G59" s="9">
        <v>0</v>
      </c>
      <c r="H59" s="9">
        <v>0</v>
      </c>
      <c r="I59" s="9">
        <v>0.1</v>
      </c>
      <c r="J59" s="9">
        <v>0.05</v>
      </c>
      <c r="K59" s="6">
        <v>1.002</v>
      </c>
      <c r="L59" s="5">
        <v>57</v>
      </c>
    </row>
    <row r="60" ht="51" customHeight="1" spans="1:12">
      <c r="A60" s="7">
        <v>58</v>
      </c>
      <c r="B60" s="7" t="s">
        <v>482</v>
      </c>
      <c r="C60" s="7" t="s">
        <v>419</v>
      </c>
      <c r="D60" s="7" t="s">
        <v>469</v>
      </c>
      <c r="E60" s="8">
        <v>45108</v>
      </c>
      <c r="F60" s="9">
        <v>0.778</v>
      </c>
      <c r="G60" s="9">
        <v>0.073</v>
      </c>
      <c r="H60" s="9">
        <v>0</v>
      </c>
      <c r="I60" s="9">
        <v>0.1</v>
      </c>
      <c r="J60" s="9">
        <v>0.05</v>
      </c>
      <c r="K60" s="6">
        <v>1.001</v>
      </c>
      <c r="L60" s="5">
        <v>58</v>
      </c>
    </row>
    <row r="61" ht="51" customHeight="1" spans="1:12">
      <c r="A61" s="7">
        <v>59</v>
      </c>
      <c r="B61" s="7" t="s">
        <v>483</v>
      </c>
      <c r="C61" s="7" t="s">
        <v>419</v>
      </c>
      <c r="D61" s="7" t="s">
        <v>469</v>
      </c>
      <c r="E61" s="8">
        <v>44105</v>
      </c>
      <c r="F61" s="9">
        <v>0.85</v>
      </c>
      <c r="G61" s="9">
        <v>0</v>
      </c>
      <c r="H61" s="9">
        <v>0</v>
      </c>
      <c r="I61" s="9">
        <v>0.1</v>
      </c>
      <c r="J61" s="9">
        <v>0.05</v>
      </c>
      <c r="K61" s="6">
        <v>1</v>
      </c>
      <c r="L61" s="5">
        <v>59</v>
      </c>
    </row>
    <row r="62" ht="51" customHeight="1" spans="1:12">
      <c r="A62" s="7">
        <v>60</v>
      </c>
      <c r="B62" s="7" t="s">
        <v>484</v>
      </c>
      <c r="C62" s="7" t="s">
        <v>423</v>
      </c>
      <c r="D62" s="7" t="s">
        <v>485</v>
      </c>
      <c r="E62" s="8">
        <v>44593</v>
      </c>
      <c r="F62" s="9">
        <v>0</v>
      </c>
      <c r="G62" s="9">
        <v>0</v>
      </c>
      <c r="H62" s="9">
        <v>0</v>
      </c>
      <c r="I62" s="9">
        <v>0.05</v>
      </c>
      <c r="J62" s="9">
        <v>0.04</v>
      </c>
      <c r="K62" s="6">
        <v>0.09</v>
      </c>
      <c r="L62" s="5">
        <v>60</v>
      </c>
    </row>
    <row r="63" ht="51" customHeight="1" spans="1:12">
      <c r="A63" s="7">
        <v>61</v>
      </c>
      <c r="B63" s="7" t="s">
        <v>486</v>
      </c>
      <c r="C63" s="7"/>
      <c r="D63" s="7" t="s">
        <v>424</v>
      </c>
      <c r="E63" s="10" t="s">
        <v>25</v>
      </c>
      <c r="F63" s="10" t="s">
        <v>25</v>
      </c>
      <c r="G63" s="10" t="s">
        <v>25</v>
      </c>
      <c r="H63" s="10" t="s">
        <v>25</v>
      </c>
      <c r="I63" s="10" t="s">
        <v>25</v>
      </c>
      <c r="J63" s="10" t="s">
        <v>25</v>
      </c>
      <c r="K63" s="10" t="s">
        <v>25</v>
      </c>
      <c r="L63" s="5"/>
    </row>
    <row r="64" ht="51" customHeight="1" spans="1:12">
      <c r="A64" s="7">
        <v>62</v>
      </c>
      <c r="B64" s="7" t="s">
        <v>487</v>
      </c>
      <c r="C64" s="7"/>
      <c r="D64" s="7" t="s">
        <v>424</v>
      </c>
      <c r="E64" s="10" t="s">
        <v>25</v>
      </c>
      <c r="F64" s="10" t="s">
        <v>25</v>
      </c>
      <c r="G64" s="10" t="s">
        <v>25</v>
      </c>
      <c r="H64" s="10" t="s">
        <v>25</v>
      </c>
      <c r="I64" s="10" t="s">
        <v>25</v>
      </c>
      <c r="J64" s="10" t="s">
        <v>25</v>
      </c>
      <c r="K64" s="10" t="s">
        <v>25</v>
      </c>
      <c r="L64" s="5"/>
    </row>
    <row r="65" ht="51" customHeight="1" spans="1:12">
      <c r="A65" s="7">
        <v>63</v>
      </c>
      <c r="B65" s="7" t="s">
        <v>488</v>
      </c>
      <c r="C65" s="7"/>
      <c r="D65" s="7" t="s">
        <v>469</v>
      </c>
      <c r="E65" s="10" t="s">
        <v>25</v>
      </c>
      <c r="F65" s="10" t="s">
        <v>25</v>
      </c>
      <c r="G65" s="10" t="s">
        <v>25</v>
      </c>
      <c r="H65" s="10" t="s">
        <v>25</v>
      </c>
      <c r="I65" s="10" t="s">
        <v>25</v>
      </c>
      <c r="J65" s="10" t="s">
        <v>25</v>
      </c>
      <c r="K65" s="10" t="s">
        <v>25</v>
      </c>
      <c r="L65" s="5"/>
    </row>
    <row r="66" ht="51" customHeight="1" spans="1:12">
      <c r="A66" s="7">
        <v>64</v>
      </c>
      <c r="B66" s="7" t="s">
        <v>489</v>
      </c>
      <c r="C66" s="7"/>
      <c r="D66" s="7" t="s">
        <v>424</v>
      </c>
      <c r="E66" s="10" t="s">
        <v>25</v>
      </c>
      <c r="F66" s="10" t="s">
        <v>25</v>
      </c>
      <c r="G66" s="10" t="s">
        <v>25</v>
      </c>
      <c r="H66" s="10" t="s">
        <v>25</v>
      </c>
      <c r="I66" s="10" t="s">
        <v>25</v>
      </c>
      <c r="J66" s="10" t="s">
        <v>25</v>
      </c>
      <c r="K66" s="10" t="s">
        <v>25</v>
      </c>
      <c r="L66" s="5"/>
    </row>
    <row r="67" ht="51" customHeight="1" spans="1:12">
      <c r="A67" s="7">
        <v>65</v>
      </c>
      <c r="B67" s="7" t="s">
        <v>490</v>
      </c>
      <c r="C67" s="7"/>
      <c r="D67" s="7" t="s">
        <v>432</v>
      </c>
      <c r="E67" s="10" t="s">
        <v>25</v>
      </c>
      <c r="F67" s="10" t="s">
        <v>25</v>
      </c>
      <c r="G67" s="10" t="s">
        <v>25</v>
      </c>
      <c r="H67" s="10" t="s">
        <v>25</v>
      </c>
      <c r="I67" s="10" t="s">
        <v>25</v>
      </c>
      <c r="J67" s="10" t="s">
        <v>25</v>
      </c>
      <c r="K67" s="10" t="s">
        <v>25</v>
      </c>
      <c r="L67" s="5"/>
    </row>
    <row r="68" ht="51" customHeight="1" spans="1:12">
      <c r="A68" s="7">
        <v>66</v>
      </c>
      <c r="B68" s="7" t="s">
        <v>491</v>
      </c>
      <c r="C68" s="7"/>
      <c r="D68" s="7" t="s">
        <v>432</v>
      </c>
      <c r="E68" s="10" t="s">
        <v>25</v>
      </c>
      <c r="F68" s="10" t="s">
        <v>25</v>
      </c>
      <c r="G68" s="10" t="s">
        <v>25</v>
      </c>
      <c r="H68" s="10" t="s">
        <v>25</v>
      </c>
      <c r="I68" s="10" t="s">
        <v>25</v>
      </c>
      <c r="J68" s="10" t="s">
        <v>25</v>
      </c>
      <c r="K68" s="10" t="s">
        <v>25</v>
      </c>
      <c r="L68" s="5"/>
    </row>
    <row r="69" ht="51" customHeight="1" spans="1:12">
      <c r="A69" s="7">
        <v>67</v>
      </c>
      <c r="B69" s="7" t="s">
        <v>492</v>
      </c>
      <c r="C69" s="7"/>
      <c r="D69" s="7" t="s">
        <v>432</v>
      </c>
      <c r="E69" s="10" t="s">
        <v>25</v>
      </c>
      <c r="F69" s="10" t="s">
        <v>25</v>
      </c>
      <c r="G69" s="10" t="s">
        <v>25</v>
      </c>
      <c r="H69" s="10" t="s">
        <v>25</v>
      </c>
      <c r="I69" s="10" t="s">
        <v>25</v>
      </c>
      <c r="J69" s="10" t="s">
        <v>25</v>
      </c>
      <c r="K69" s="10" t="s">
        <v>25</v>
      </c>
      <c r="L69" s="5"/>
    </row>
    <row r="70" ht="51" customHeight="1" spans="1:12">
      <c r="A70" s="7">
        <v>68</v>
      </c>
      <c r="B70" s="7" t="s">
        <v>493</v>
      </c>
      <c r="C70" s="7"/>
      <c r="D70" s="7" t="s">
        <v>432</v>
      </c>
      <c r="E70" s="10" t="s">
        <v>25</v>
      </c>
      <c r="F70" s="10" t="s">
        <v>25</v>
      </c>
      <c r="G70" s="10" t="s">
        <v>25</v>
      </c>
      <c r="H70" s="10" t="s">
        <v>25</v>
      </c>
      <c r="I70" s="10" t="s">
        <v>25</v>
      </c>
      <c r="J70" s="10" t="s">
        <v>25</v>
      </c>
      <c r="K70" s="10" t="s">
        <v>25</v>
      </c>
      <c r="L70" s="5"/>
    </row>
    <row r="71" ht="51" customHeight="1" spans="1:12">
      <c r="A71" s="7">
        <v>69</v>
      </c>
      <c r="B71" s="7" t="s">
        <v>494</v>
      </c>
      <c r="C71" s="7"/>
      <c r="D71" s="7" t="s">
        <v>443</v>
      </c>
      <c r="E71" s="10" t="s">
        <v>25</v>
      </c>
      <c r="F71" s="10" t="s">
        <v>25</v>
      </c>
      <c r="G71" s="10" t="s">
        <v>25</v>
      </c>
      <c r="H71" s="10" t="s">
        <v>25</v>
      </c>
      <c r="I71" s="10" t="s">
        <v>25</v>
      </c>
      <c r="J71" s="10" t="s">
        <v>25</v>
      </c>
      <c r="K71" s="10" t="s">
        <v>25</v>
      </c>
      <c r="L71" s="5"/>
    </row>
    <row r="72" ht="51" customHeight="1" spans="1:12">
      <c r="A72" s="7">
        <v>70</v>
      </c>
      <c r="B72" s="7" t="s">
        <v>495</v>
      </c>
      <c r="C72" s="7"/>
      <c r="D72" s="7" t="s">
        <v>443</v>
      </c>
      <c r="E72" s="10" t="s">
        <v>25</v>
      </c>
      <c r="F72" s="10" t="s">
        <v>25</v>
      </c>
      <c r="G72" s="10" t="s">
        <v>25</v>
      </c>
      <c r="H72" s="10" t="s">
        <v>25</v>
      </c>
      <c r="I72" s="10" t="s">
        <v>25</v>
      </c>
      <c r="J72" s="10" t="s">
        <v>25</v>
      </c>
      <c r="K72" s="10" t="s">
        <v>25</v>
      </c>
      <c r="L72" s="5"/>
    </row>
    <row r="73" ht="51" customHeight="1" spans="1:12">
      <c r="A73" s="7">
        <v>71</v>
      </c>
      <c r="B73" s="7" t="s">
        <v>496</v>
      </c>
      <c r="C73" s="7"/>
      <c r="D73" s="7" t="s">
        <v>469</v>
      </c>
      <c r="E73" s="10" t="s">
        <v>25</v>
      </c>
      <c r="F73" s="10" t="s">
        <v>25</v>
      </c>
      <c r="G73" s="10" t="s">
        <v>25</v>
      </c>
      <c r="H73" s="10" t="s">
        <v>25</v>
      </c>
      <c r="I73" s="10" t="s">
        <v>25</v>
      </c>
      <c r="J73" s="10" t="s">
        <v>25</v>
      </c>
      <c r="K73" s="10" t="s">
        <v>25</v>
      </c>
      <c r="L73" s="5"/>
    </row>
    <row r="74" ht="51" customHeight="1" spans="1:12">
      <c r="A74" s="7">
        <v>72</v>
      </c>
      <c r="B74" s="7" t="s">
        <v>497</v>
      </c>
      <c r="C74" s="7"/>
      <c r="D74" s="7" t="s">
        <v>469</v>
      </c>
      <c r="E74" s="10" t="s">
        <v>25</v>
      </c>
      <c r="F74" s="10" t="s">
        <v>25</v>
      </c>
      <c r="G74" s="10" t="s">
        <v>25</v>
      </c>
      <c r="H74" s="10" t="s">
        <v>25</v>
      </c>
      <c r="I74" s="10" t="s">
        <v>25</v>
      </c>
      <c r="J74" s="10" t="s">
        <v>25</v>
      </c>
      <c r="K74" s="10" t="s">
        <v>25</v>
      </c>
      <c r="L74" s="5"/>
    </row>
    <row r="75" s="1" customFormat="1" ht="51" customHeight="1" spans="1:12">
      <c r="A75" s="12" t="s">
        <v>498</v>
      </c>
      <c r="B75" s="13"/>
      <c r="C75" s="13"/>
      <c r="D75" s="13"/>
      <c r="E75" s="14"/>
      <c r="F75" s="15">
        <f t="shared" ref="F75:K75" si="0">SUM(F3:F74)</f>
        <v>56.05</v>
      </c>
      <c r="G75" s="15">
        <f t="shared" si="0"/>
        <v>10.74</v>
      </c>
      <c r="H75" s="15">
        <f t="shared" si="0"/>
        <v>3.21</v>
      </c>
      <c r="I75" s="15">
        <f t="shared" si="0"/>
        <v>10</v>
      </c>
      <c r="J75" s="15">
        <f t="shared" si="0"/>
        <v>5</v>
      </c>
      <c r="K75" s="15">
        <f>SUM(K3:K74)</f>
        <v>85</v>
      </c>
      <c r="L75" s="23" t="s">
        <v>499</v>
      </c>
    </row>
    <row r="76" s="2" customFormat="1" ht="51" customHeight="1" spans="1:12">
      <c r="A76" s="16" t="s">
        <v>500</v>
      </c>
      <c r="E76" s="16" t="s">
        <v>501</v>
      </c>
      <c r="F76" s="17"/>
      <c r="G76" s="18"/>
      <c r="H76" s="19" t="s">
        <v>502</v>
      </c>
      <c r="I76" s="19"/>
      <c r="J76" s="18"/>
      <c r="K76" s="19" t="s">
        <v>503</v>
      </c>
      <c r="L76" s="24"/>
    </row>
    <row r="77" s="3" customFormat="1" ht="30" customHeight="1" spans="1:12">
      <c r="A77" s="20"/>
      <c r="B77" s="20"/>
      <c r="C77" s="20"/>
      <c r="D77" s="20"/>
      <c r="E77" s="20"/>
      <c r="F77" s="20"/>
      <c r="G77" s="20"/>
      <c r="H77" s="20"/>
      <c r="I77" s="20"/>
      <c r="J77" s="25"/>
      <c r="K77" s="20"/>
      <c r="L77" s="20"/>
    </row>
    <row r="78" s="3" customFormat="1" ht="37" customHeight="1" spans="1:12">
      <c r="A78" s="21" t="s">
        <v>504</v>
      </c>
      <c r="B78" s="22"/>
      <c r="C78" s="22"/>
      <c r="D78" s="22"/>
      <c r="E78" s="22"/>
      <c r="F78" s="22"/>
      <c r="G78" s="22"/>
      <c r="H78" s="22"/>
      <c r="I78" s="22"/>
      <c r="J78" s="22"/>
      <c r="K78" s="22"/>
      <c r="L78" s="22"/>
    </row>
    <row r="79" s="3" customFormat="1" ht="37" customHeight="1" spans="1:12">
      <c r="A79" s="22"/>
      <c r="B79" s="22"/>
      <c r="C79" s="22"/>
      <c r="D79" s="22"/>
      <c r="E79" s="22"/>
      <c r="F79" s="22"/>
      <c r="G79" s="22"/>
      <c r="H79" s="22"/>
      <c r="I79" s="22"/>
      <c r="J79" s="22"/>
      <c r="K79" s="22"/>
      <c r="L79" s="22"/>
    </row>
    <row r="80" s="3" customFormat="1" ht="37" customHeight="1" spans="1:12">
      <c r="A80" s="22"/>
      <c r="B80" s="22"/>
      <c r="C80" s="22"/>
      <c r="D80" s="22"/>
      <c r="E80" s="22"/>
      <c r="F80" s="22"/>
      <c r="G80" s="22"/>
      <c r="H80" s="22"/>
      <c r="I80" s="22"/>
      <c r="J80" s="22"/>
      <c r="K80" s="22"/>
      <c r="L80" s="22"/>
    </row>
    <row r="81" s="3" customFormat="1" ht="37" customHeight="1" spans="1:12">
      <c r="A81" s="22"/>
      <c r="B81" s="22"/>
      <c r="C81" s="22"/>
      <c r="D81" s="22"/>
      <c r="E81" s="22"/>
      <c r="F81" s="22"/>
      <c r="G81" s="22"/>
      <c r="H81" s="22"/>
      <c r="I81" s="22"/>
      <c r="J81" s="22"/>
      <c r="K81" s="22"/>
      <c r="L81" s="22"/>
    </row>
    <row r="82" s="3" customFormat="1" ht="37" customHeight="1" spans="1:12">
      <c r="A82" s="22"/>
      <c r="B82" s="22"/>
      <c r="C82" s="22"/>
      <c r="D82" s="22"/>
      <c r="E82" s="22"/>
      <c r="F82" s="22"/>
      <c r="G82" s="22"/>
      <c r="H82" s="22"/>
      <c r="I82" s="22"/>
      <c r="J82" s="22"/>
      <c r="K82" s="22"/>
      <c r="L82" s="22"/>
    </row>
    <row r="83" s="3" customFormat="1" ht="47" customHeight="1" spans="1:12">
      <c r="A83" s="22"/>
      <c r="B83" s="22"/>
      <c r="C83" s="22"/>
      <c r="D83" s="22"/>
      <c r="E83" s="22"/>
      <c r="F83" s="22"/>
      <c r="G83" s="22"/>
      <c r="H83" s="22"/>
      <c r="I83" s="22"/>
      <c r="J83" s="22"/>
      <c r="K83" s="22"/>
      <c r="L83" s="22"/>
    </row>
  </sheetData>
  <mergeCells count="3">
    <mergeCell ref="A1:L1"/>
    <mergeCell ref="A75:E75"/>
    <mergeCell ref="A78:L83"/>
  </mergeCells>
  <pageMargins left="0.75" right="0.75" top="1" bottom="1" header="0.5" footer="0.5"/>
  <pageSetup paperSize="9" scale="27" fitToHeight="0" orientation="portrait"/>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2</vt:i4>
      </vt:variant>
    </vt:vector>
  </HeadingPairs>
  <TitlesOfParts>
    <vt:vector size="2" baseType="lpstr">
      <vt:lpstr>部门</vt:lpstr>
      <vt:lpstr>员工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shican</cp:lastModifiedBy>
  <dcterms:created xsi:type="dcterms:W3CDTF">2025-03-19T12:28:00Z</dcterms:created>
  <dcterms:modified xsi:type="dcterms:W3CDTF">2025-04-10T06:08:59Z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D43E0771D30942EE83019527A331CF42_13</vt:lpwstr>
  </property>
  <property fmtid="{D5CDD505-2E9C-101B-9397-08002B2CF9AE}" pid="3" name="KSOProductBuildVer">
    <vt:lpwstr>2052-12.1.0.20784</vt:lpwstr>
  </property>
</Properties>
</file>